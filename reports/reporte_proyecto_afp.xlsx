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Glidepath_optimo" sheetId="19" state="visible" r:id="rId19"/>
    <sheet xmlns:r="http://schemas.openxmlformats.org/officeDocument/2006/relationships" name="Comisiones_AFP" sheetId="20" state="visible" r:id="rId20"/>
    <sheet xmlns:r="http://schemas.openxmlformats.org/officeDocument/2006/relationships" name="Regimenes_macro" sheetId="21" state="visible" r:id="rId21"/>
    <sheet xmlns:r="http://schemas.openxmlformats.org/officeDocument/2006/relationships" name="Regimenes_macro_efectos" sheetId="22" state="visible" r:id="rId22"/>
    <sheet xmlns:r="http://schemas.openxmlformats.org/officeDocument/2006/relationships" name="Poblacion_sexo" sheetId="23" state="visible" r:id="rId23"/>
    <sheet xmlns:r="http://schemas.openxmlformats.org/officeDocument/2006/relationships" name="Poblacion_quintil" sheetId="24" state="visible" r:id="rId24"/>
    <sheet xmlns:r="http://schemas.openxmlformats.org/officeDocument/2006/relationships" name="Brecha_genero" sheetId="25" state="visible" r:id="rId25"/>
    <sheet xmlns:r="http://schemas.openxmlformats.org/officeDocument/2006/relationships" name="Incertidumbre" sheetId="26" state="visible" r:id="rId26"/>
    <sheet xmlns:r="http://schemas.openxmlformats.org/officeDocument/2006/relationships" name="Fuentes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"/>
    <numFmt numFmtId="165" formatCode="$#,##0"/>
    <numFmt numFmtId="166" formatCode="0.0000"/>
    <numFmt numFmtId="167" formatCode="0.0"/>
    <numFmt numFmtId="168" formatCode="#,##0.0"/>
    <numFmt numFmtId="169" formatCode="0.00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  <xf numFmtId="3" fontId="6" fillId="0" borderId="0" pivotButton="0" quotePrefix="0" xfId="0"/>
    <xf numFmtId="169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  <row r="16" ht="48" customHeight="1">
      <c r="A16" s="4" t="n">
        <v>12</v>
      </c>
      <c r="B16" s="5" t="inlineStr">
        <is>
          <t>El glidepath oficial está muy cerca del óptimo, y la PGU justifica llegar al retiro con más riesgo.</t>
        </is>
      </c>
      <c r="C16" s="6" t="inlineStr">
        <is>
          <t>Maximizando la utilidad CRRA de la pensión total (hombre, consenso 2026, escenarios de prueba), el mejor glidepath de la familia supera al oficial en solo +0,3% a +3,1% de pensión equivalente cierta (aversión γ de 2 a 5); el fondo por defecto de la ley queda -9% a -1% bajo el oficial. Con γ = 3, el óptimo llega al retiro con 70% en crecimiento si se cuenta la PGU y 40% sin ella (el oficial, 29%): la PGU actúa como un bono.</t>
        </is>
      </c>
    </row>
    <row r="17" ht="48" customHeight="1">
      <c r="A17" s="4" t="n">
        <v>13</v>
      </c>
      <c r="B17" s="5" t="inlineStr">
        <is>
          <t>En la población real la pensión depende sobre todo del ingreso y de las lagunas: la PGU la vuelve muy progresiva.</t>
        </is>
      </c>
      <c r="C17" s="6" t="inlineStr">
        <is>
          <t>Microsimulación de 20 mil personas con ingreso y densidad calibrados con la SP (consenso 2026, fondo por defecto): tasa de reemplazo total mediana 63% en hombres y 49% en mujeres (solo con el 10%: 27% y 14%). Del quintil 1 al 5 la tasa total baja de 91% a 50% (hombres). La PGU es más de la mitad de la pensión en 56% de los casos de mujeres. El ciclo de vida sube la pensión total +3% en el quintil 1 y +9% en el 5: la PGU amortigua su efecto en los de menores ingresos.</t>
        </is>
      </c>
    </row>
    <row r="18" ht="48" customHeight="1">
      <c r="A18" s="4" t="n">
        <v>14</v>
      </c>
      <c r="B18" s="5" t="inlineStr">
        <is>
          <t>La edad de pensión es la principal causa de la brecha de género, por sobre las lagunas y el sueldo.</t>
        </is>
      </c>
      <c r="C18" s="6" t="inlineStr">
        <is>
          <t>La pensión total mediana de una mujer es 36% menor que la de un hombre. Descomposición de Shapley: densidad de cotización 9,7 pp; nivel de ingreso 6,6 pp; edad de pensión (60 vs 65) 14,8 pp; esperanza de vida (tabla de mortalidad) 4,1 pp. El factor más importante es «Edad de pensión (60 vs 65)», con 41% de la brecha.</t>
        </is>
      </c>
    </row>
    <row r="19" ht="48" customHeight="1">
      <c r="A19" s="4" t="n">
        <v>15</v>
      </c>
      <c r="B19" s="5" t="inlineStr">
        <is>
          <t>Pagar más comisión no compra más rentabilidad: ninguna AFP rindió lo suficiente para compensar su comisión.</t>
        </is>
      </c>
      <c r="C19" s="6" t="inlineStr">
        <is>
          <t>Las comisiones van de 0,46% (Uno) a 1,45% (Provida) del sueldo. Como se cobran aparte de la cotización, la diferencia equivale a dejar de ahorrar 9,9% de la pensión autofinanciada (0,96 UF al mes para el hombre tipo; 135 vs 43 UF pagadas en la vida laboral). Para compensarla, Provida necesitaría rendir 0,41% más al año; entre nov-2019 y ago-2026 rindió -0,16% frente a sus pares (t vs equilibrio -2,1). La que más rindió (Capital, +0,25%) tampoco alcanzó su equilibrio (0,41%), y ninguna diferencia de rentabilidad es significativa.</t>
        </is>
      </c>
    </row>
    <row r="20" ht="48" customHeight="1">
      <c r="A20" s="4" t="n">
        <v>16</v>
      </c>
      <c r="B20" s="5" t="inlineStr">
        <is>
          <t>Los regímenes mejoran la predicción del mes siguiente, pero las variables macro no ayudan a anticiparlos.</t>
        </is>
      </c>
      <c r="C20" s="6" t="inlineStr">
        <is>
          <t>Validación fuera de muestra 2015-2026 (140 meses, reestimación anual): el HMM supera a una normal sin regímenes en +0,74 de log-score por mes (Diebold-Mariano p = 0,001). Agregar IPC, TPM, dólar e Imacec a las transiciones (TVTP) no mejora: -0,001 por mes (p = 0,98). Dentro de muestra, una TPM que sube 1 desviación estándar eleva la probabilidad de pasar de la calma a la crisis de 4% a 16%, pero el quiebre de 2019 ocurrió una sola vez: no hay transiciones suficientes para aprender qué lo gatilla.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4" customWidth="1" min="9" max="9"/>
    <col width="21" customWidth="1" min="10" max="10"/>
    <col width="22" customWidth="1" min="11" max="11"/>
  </cols>
  <sheetData>
    <row r="1">
      <c r="A1" s="21" t="inlineStr">
        <is>
          <t>¿Es óptimo el glidepath oficial? Mejor glidepath de la familia por aversión al riesgo (equivalente cierto, UF)</t>
        </is>
      </c>
    </row>
    <row r="3">
      <c r="A3" s="3" t="inlineStr">
        <is>
          <t>sexo</t>
        </is>
      </c>
      <c r="B3" s="3" t="inlineStr">
        <is>
          <t>gamma</t>
        </is>
      </c>
      <c r="C3" s="3" t="inlineStr">
        <is>
          <t>con_reforma</t>
        </is>
      </c>
      <c r="D3" s="3" t="inlineStr">
        <is>
          <t>g0</t>
        </is>
      </c>
      <c r="E3" s="3" t="inlineStr">
        <is>
          <t>a1</t>
        </is>
      </c>
      <c r="F3" s="3" t="inlineStr">
        <is>
          <t>g1</t>
        </is>
      </c>
      <c r="G3" s="3" t="inlineStr">
        <is>
          <t>ec_oficial</t>
        </is>
      </c>
      <c r="H3" s="3" t="inlineStr">
        <is>
          <t>ec_optimo</t>
        </is>
      </c>
      <c r="I3" s="3" t="inlineStr">
        <is>
          <t>ec_defecto</t>
        </is>
      </c>
      <c r="J3" s="3" t="inlineStr">
        <is>
          <t>optimo_vs_oficial</t>
        </is>
      </c>
      <c r="K3" s="3" t="inlineStr">
        <is>
          <t>defecto_vs_oficial</t>
        </is>
      </c>
    </row>
    <row r="4">
      <c r="A4" s="4" t="inlineStr">
        <is>
          <t>H</t>
        </is>
      </c>
      <c r="B4" s="23" t="n">
        <v>2</v>
      </c>
      <c r="C4" s="14" t="b">
        <v>1</v>
      </c>
      <c r="D4" s="22" t="n">
        <v>1</v>
      </c>
      <c r="E4" s="27" t="n">
        <v>45</v>
      </c>
      <c r="F4" s="22" t="n">
        <v>0.8</v>
      </c>
      <c r="G4" s="25" t="n">
        <v>21.81089144260766</v>
      </c>
      <c r="H4" s="25" t="n">
        <v>22.49791750733205</v>
      </c>
      <c r="I4" s="25" t="n">
        <v>20.54633424268781</v>
      </c>
      <c r="J4" s="22" t="n">
        <v>0.03149921985225612</v>
      </c>
      <c r="K4" s="22" t="n">
        <v>-0.05797824464201073</v>
      </c>
    </row>
    <row r="5">
      <c r="A5" s="4" t="inlineStr">
        <is>
          <t>H</t>
        </is>
      </c>
      <c r="B5" s="23" t="n">
        <v>3</v>
      </c>
      <c r="C5" s="14" t="b">
        <v>1</v>
      </c>
      <c r="D5" s="22" t="n">
        <v>1</v>
      </c>
      <c r="E5" s="27" t="n">
        <v>35</v>
      </c>
      <c r="F5" s="22" t="n">
        <v>0.7</v>
      </c>
      <c r="G5" s="25" t="n">
        <v>21.24106514110735</v>
      </c>
      <c r="H5" s="25" t="n">
        <v>21.47962732253391</v>
      </c>
      <c r="I5" s="25" t="n">
        <v>20.20551993500472</v>
      </c>
      <c r="J5" s="22" t="n">
        <v>0.01123117790194428</v>
      </c>
      <c r="K5" s="22" t="n">
        <v>-0.04875203758490254</v>
      </c>
    </row>
    <row r="6">
      <c r="A6" s="4" t="inlineStr">
        <is>
          <t>H</t>
        </is>
      </c>
      <c r="B6" s="23" t="n">
        <v>5</v>
      </c>
      <c r="C6" s="14" t="b">
        <v>1</v>
      </c>
      <c r="D6" s="22" t="n">
        <v>1</v>
      </c>
      <c r="E6" s="27" t="n">
        <v>30</v>
      </c>
      <c r="F6" s="22" t="n">
        <v>0.4</v>
      </c>
      <c r="G6" s="25" t="n">
        <v>20.21040530232428</v>
      </c>
      <c r="H6" s="25" t="n">
        <v>20.27355184298723</v>
      </c>
      <c r="I6" s="25" t="n">
        <v>19.55520649790904</v>
      </c>
      <c r="J6" s="22" t="n">
        <v>0.003124456918025542</v>
      </c>
      <c r="K6" s="22" t="n">
        <v>-0.03241888495625012</v>
      </c>
    </row>
    <row r="7">
      <c r="A7" s="4" t="inlineStr">
        <is>
          <t>H</t>
        </is>
      </c>
      <c r="B7" s="23" t="n">
        <v>2</v>
      </c>
      <c r="C7" s="14" t="b">
        <v>0</v>
      </c>
      <c r="D7" s="22" t="n">
        <v>1</v>
      </c>
      <c r="E7" s="27" t="n">
        <v>35</v>
      </c>
      <c r="F7" s="22" t="n">
        <v>0.7</v>
      </c>
      <c r="G7" s="25" t="n">
        <v>10.15941939138435</v>
      </c>
      <c r="H7" s="25" t="n">
        <v>10.37332862672469</v>
      </c>
      <c r="I7" s="25" t="n">
        <v>9.263241171699766</v>
      </c>
      <c r="J7" s="22" t="n">
        <v>0.02105526183137507</v>
      </c>
      <c r="K7" s="22" t="n">
        <v>-0.08821155866885277</v>
      </c>
    </row>
    <row r="8">
      <c r="A8" s="4" t="inlineStr">
        <is>
          <t>H</t>
        </is>
      </c>
      <c r="B8" s="23" t="n">
        <v>3</v>
      </c>
      <c r="C8" s="14" t="b">
        <v>0</v>
      </c>
      <c r="D8" s="22" t="n">
        <v>1</v>
      </c>
      <c r="E8" s="27" t="n">
        <v>30</v>
      </c>
      <c r="F8" s="22" t="n">
        <v>0.4</v>
      </c>
      <c r="G8" s="25" t="n">
        <v>9.379509959857522</v>
      </c>
      <c r="H8" s="25" t="n">
        <v>9.434561713195848</v>
      </c>
      <c r="I8" s="25" t="n">
        <v>8.826324808747481</v>
      </c>
      <c r="J8" s="22" t="n">
        <v>0.005869363492755575</v>
      </c>
      <c r="K8" s="22" t="n">
        <v>-0.0589780439999068</v>
      </c>
    </row>
    <row r="9">
      <c r="A9" s="4" t="inlineStr">
        <is>
          <t>H</t>
        </is>
      </c>
      <c r="B9" s="23" t="n">
        <v>5</v>
      </c>
      <c r="C9" s="14" t="b">
        <v>0</v>
      </c>
      <c r="D9" s="22" t="n">
        <v>0.6</v>
      </c>
      <c r="E9" s="27" t="n">
        <v>30</v>
      </c>
      <c r="F9" s="22" t="n">
        <v>0.4</v>
      </c>
      <c r="G9" s="25" t="n">
        <v>8.093007015597816</v>
      </c>
      <c r="H9" s="25" t="n">
        <v>8.29561118747621</v>
      </c>
      <c r="I9" s="25" t="n">
        <v>8.025854067417487</v>
      </c>
      <c r="J9" s="22" t="n">
        <v>0.02503447377321066</v>
      </c>
      <c r="K9" s="22" t="n">
        <v>-0.008297651052433741</v>
      </c>
    </row>
    <row r="11">
      <c r="A11" s="2" t="inlineStr">
        <is>
          <t>Familia: meseta g0 hasta la edad a1 y baja lineal hasta g1 al retiro; réplica con multifondos.</t>
        </is>
      </c>
    </row>
    <row r="12">
      <c r="A12" s="2" t="inlineStr">
        <is>
          <t>Criterio: utilidad CRRA de la pensión total (con_reforma = cotización del empleador, rentabilidad protegida y PGU).</t>
        </is>
      </c>
    </row>
    <row r="13">
      <c r="A13" s="2" t="inlineStr">
        <is>
          <t>Grilla evaluada en escenarios de entrenamiento; resultados reportados en escenarios de prueba independientes.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4" customWidth="1" min="3" max="3"/>
    <col width="26" customWidth="1" min="4" max="4"/>
    <col width="34" customWidth="1" min="5" max="5"/>
    <col width="34" customWidth="1" min="6" max="6"/>
    <col width="34" customWidth="1" min="7" max="7"/>
    <col width="18" customWidth="1" min="8" max="8"/>
    <col width="19" customWidth="1" min="9" max="9"/>
    <col width="21" customWidth="1" min="10" max="10"/>
    <col width="14" customWidth="1" min="11" max="11"/>
    <col width="15" customWidth="1" min="12" max="12"/>
    <col width="17" customWidth="1" min="13" max="13"/>
    <col width="25" customWidth="1" min="14" max="14"/>
    <col width="19" customWidth="1" min="15" max="15"/>
  </cols>
  <sheetData>
    <row r="1">
      <c r="A1" s="21" t="inlineStr">
        <is>
          <t>Comisiones por AFP: costo en pensión y rentabilidad necesaria para compensarlo</t>
        </is>
      </c>
    </row>
    <row r="3">
      <c r="A3" s="3" t="inlineStr">
        <is>
          <t>afp</t>
        </is>
      </c>
      <c r="B3" s="3" t="inlineStr">
        <is>
          <t>comision</t>
        </is>
      </c>
      <c r="C3" s="3" t="inlineStr">
        <is>
          <t>comision_mensual_clp_sueldo_1m</t>
        </is>
      </c>
      <c r="D3" s="3" t="inlineStr">
        <is>
          <t>comision_total_vida_uf</t>
        </is>
      </c>
      <c r="E3" s="3" t="inlineStr">
        <is>
          <t>costo_pension_uf_vs_mas_barata</t>
        </is>
      </c>
      <c r="F3" s="3" t="inlineStr">
        <is>
          <t>costo_pension_pct_vs_mas_barata</t>
        </is>
      </c>
      <c r="G3" s="3" t="inlineStr">
        <is>
          <t>rentabilidad_extra_para_compensar</t>
        </is>
      </c>
      <c r="H3" s="3" t="inlineStr">
        <is>
          <t>alfa_historico</t>
        </is>
      </c>
      <c r="I3" s="3" t="inlineStr">
        <is>
          <t>meses_historico</t>
        </is>
      </c>
      <c r="J3" s="3" t="inlineStr">
        <is>
          <t>ee_alfa_historico</t>
        </is>
      </c>
      <c r="K3" s="3" t="inlineStr">
        <is>
          <t>alfa_comun</t>
        </is>
      </c>
      <c r="L3" s="3" t="inlineStr">
        <is>
          <t>meses_comun</t>
        </is>
      </c>
      <c r="M3" s="3" t="inlineStr">
        <is>
          <t>ee_alfa_comun</t>
        </is>
      </c>
      <c r="N3" s="3" t="inlineStr">
        <is>
          <t>alfa_menos_equilibrio</t>
        </is>
      </c>
      <c r="O3" s="3" t="inlineStr">
        <is>
          <t>t_vs_equilibrio</t>
        </is>
      </c>
    </row>
    <row r="4">
      <c r="A4" s="4" t="inlineStr">
        <is>
          <t>Uno</t>
        </is>
      </c>
      <c r="B4" s="22" t="n">
        <v>0.0046</v>
      </c>
      <c r="C4" s="29" t="n">
        <v>4600</v>
      </c>
      <c r="D4" s="23" t="n">
        <v>42.91292484478021</v>
      </c>
      <c r="E4" s="25" t="n">
        <v>0</v>
      </c>
      <c r="F4" s="22" t="n">
        <v>0</v>
      </c>
      <c r="G4" s="22" t="n">
        <v>0</v>
      </c>
      <c r="H4" s="22" t="n">
        <v>0.002357478638588062</v>
      </c>
      <c r="I4" s="14" t="n">
        <v>83</v>
      </c>
      <c r="J4" s="22" t="n">
        <v>0.004551510994692204</v>
      </c>
      <c r="K4" s="22" t="n">
        <v>-0.0002357973628636101</v>
      </c>
      <c r="L4" s="14" t="n">
        <v>82</v>
      </c>
      <c r="M4" s="22" t="n">
        <v>0.003618040065530605</v>
      </c>
      <c r="N4" s="22" t="n">
        <v>-0.0002357973628636101</v>
      </c>
      <c r="O4" s="25" t="n">
        <v>-0.06517267874119828</v>
      </c>
    </row>
    <row r="5">
      <c r="A5" s="4" t="inlineStr">
        <is>
          <t>Modelo</t>
        </is>
      </c>
      <c r="B5" s="22" t="n">
        <v>0.0058</v>
      </c>
      <c r="C5" s="29" t="n">
        <v>5800</v>
      </c>
      <c r="D5" s="23" t="n">
        <v>54.10760089124459</v>
      </c>
      <c r="E5" s="25" t="n">
        <v>0.1168610627846689</v>
      </c>
      <c r="F5" s="22" t="n">
        <v>0.012</v>
      </c>
      <c r="G5" s="22" t="n">
        <v>0.0005168151855468751</v>
      </c>
      <c r="H5" s="22" t="n">
        <v>-0.001346627810657086</v>
      </c>
      <c r="I5" s="14" t="n">
        <v>192</v>
      </c>
      <c r="J5" s="22" t="n">
        <v>0.002267516752812703</v>
      </c>
      <c r="K5" s="22" t="n">
        <v>-0.002230214467713254</v>
      </c>
      <c r="L5" s="14" t="n">
        <v>82</v>
      </c>
      <c r="M5" s="22" t="n">
        <v>0.002529811826278836</v>
      </c>
      <c r="N5" s="22" t="n">
        <v>-0.002747029653260129</v>
      </c>
      <c r="O5" s="25" t="n">
        <v>-1.085863234856011</v>
      </c>
    </row>
    <row r="6">
      <c r="A6" s="4" t="inlineStr">
        <is>
          <t>PlanVital</t>
        </is>
      </c>
      <c r="B6" s="22" t="n">
        <v>0.0116</v>
      </c>
      <c r="C6" s="29" t="n">
        <v>11600</v>
      </c>
      <c r="D6" s="23" t="n">
        <v>108.2152017824892</v>
      </c>
      <c r="E6" s="25" t="n">
        <v>0.6816895329105687</v>
      </c>
      <c r="F6" s="22" t="n">
        <v>0.06999999999999999</v>
      </c>
      <c r="G6" s="22" t="n">
        <v>0.002936553955078125</v>
      </c>
      <c r="H6" s="22" t="n">
        <v>-0.001648877451749176</v>
      </c>
      <c r="I6" s="14" t="n">
        <v>289</v>
      </c>
      <c r="J6" s="22" t="n">
        <v>0.001587436154611429</v>
      </c>
      <c r="K6" s="22" t="n">
        <v>0.000927368629194536</v>
      </c>
      <c r="L6" s="14" t="n">
        <v>82</v>
      </c>
      <c r="M6" s="22" t="n">
        <v>0.002153718936999545</v>
      </c>
      <c r="N6" s="22" t="n">
        <v>-0.002009185325883589</v>
      </c>
      <c r="O6" s="25" t="n">
        <v>-0.932891145342617</v>
      </c>
    </row>
    <row r="7">
      <c r="A7" s="4" t="inlineStr">
        <is>
          <t>Habitat</t>
        </is>
      </c>
      <c r="B7" s="22" t="n">
        <v>0.0127</v>
      </c>
      <c r="C7" s="29" t="n">
        <v>12700</v>
      </c>
      <c r="D7" s="23" t="n">
        <v>118.476988158415</v>
      </c>
      <c r="E7" s="25" t="n">
        <v>0.7888121737965151</v>
      </c>
      <c r="F7" s="22" t="n">
        <v>0.08099999999999999</v>
      </c>
      <c r="G7" s="22" t="n">
        <v>0.003376922607421875</v>
      </c>
      <c r="H7" s="22" t="n">
        <v>0.003300291758884022</v>
      </c>
      <c r="I7" s="14" t="n">
        <v>289</v>
      </c>
      <c r="J7" s="22" t="n">
        <v>0.001180359962717409</v>
      </c>
      <c r="K7" s="22" t="n">
        <v>0.00137962531723097</v>
      </c>
      <c r="L7" s="14" t="n">
        <v>82</v>
      </c>
      <c r="M7" s="22" t="n">
        <v>0.002208891381672083</v>
      </c>
      <c r="N7" s="22" t="n">
        <v>-0.001997297290190905</v>
      </c>
      <c r="O7" s="25" t="n">
        <v>-0.904208014374611</v>
      </c>
    </row>
    <row r="8">
      <c r="A8" s="4" t="inlineStr">
        <is>
          <t>Capital</t>
        </is>
      </c>
      <c r="B8" s="22" t="n">
        <v>0.0144</v>
      </c>
      <c r="C8" s="29" t="n">
        <v>14400</v>
      </c>
      <c r="D8" s="23" t="n">
        <v>134.3361125575728</v>
      </c>
      <c r="E8" s="25" t="n">
        <v>0.9543653460747962</v>
      </c>
      <c r="F8" s="22" t="n">
        <v>0.09799999999999999</v>
      </c>
      <c r="G8" s="22" t="n">
        <v>0.004052581787109375</v>
      </c>
      <c r="H8" s="22" t="n">
        <v>0.001075497427890193</v>
      </c>
      <c r="I8" s="14" t="n">
        <v>221</v>
      </c>
      <c r="J8" s="22" t="n">
        <v>0.001161323746836198</v>
      </c>
      <c r="K8" s="22" t="n">
        <v>0.002530410792174975</v>
      </c>
      <c r="L8" s="14" t="n">
        <v>82</v>
      </c>
      <c r="M8" s="22" t="n">
        <v>0.001474062914294543</v>
      </c>
      <c r="N8" s="22" t="n">
        <v>-0.0015221709949344</v>
      </c>
      <c r="O8" s="25" t="n">
        <v>-1.032636382187853</v>
      </c>
    </row>
    <row r="9">
      <c r="A9" s="4" t="inlineStr">
        <is>
          <t>Cuprum</t>
        </is>
      </c>
      <c r="B9" s="22" t="n">
        <v>0.0144</v>
      </c>
      <c r="C9" s="29" t="n">
        <v>14400</v>
      </c>
      <c r="D9" s="23" t="n">
        <v>134.3361125575728</v>
      </c>
      <c r="E9" s="25" t="n">
        <v>0.9543653460747962</v>
      </c>
      <c r="F9" s="22" t="n">
        <v>0.09799999999999999</v>
      </c>
      <c r="G9" s="22" t="n">
        <v>0.004052581787109375</v>
      </c>
      <c r="H9" s="22" t="n">
        <v>0.001529268021796026</v>
      </c>
      <c r="I9" s="14" t="n">
        <v>289</v>
      </c>
      <c r="J9" s="22" t="n">
        <v>0.001294373993724194</v>
      </c>
      <c r="K9" s="22" t="n">
        <v>0.001324839680963974</v>
      </c>
      <c r="L9" s="14" t="n">
        <v>82</v>
      </c>
      <c r="M9" s="22" t="n">
        <v>0.001911337442733075</v>
      </c>
      <c r="N9" s="22" t="n">
        <v>-0.002727742106145402</v>
      </c>
      <c r="O9" s="25" t="n">
        <v>-1.427137901010785</v>
      </c>
    </row>
    <row r="10">
      <c r="A10" s="4" t="inlineStr">
        <is>
          <t>Provida</t>
        </is>
      </c>
      <c r="B10" s="22" t="n">
        <v>0.0145</v>
      </c>
      <c r="C10" s="29" t="n">
        <v>14500</v>
      </c>
      <c r="D10" s="23" t="n">
        <v>135.2690022281115</v>
      </c>
      <c r="E10" s="25" t="n">
        <v>0.9641037679735187</v>
      </c>
      <c r="F10" s="22" t="n">
        <v>0.099</v>
      </c>
      <c r="G10" s="22" t="n">
        <v>0.004091949462890626</v>
      </c>
      <c r="H10" s="22" t="n">
        <v>-0.002006289828630292</v>
      </c>
      <c r="I10" s="14" t="n">
        <v>289</v>
      </c>
      <c r="J10" s="22" t="n">
        <v>0.001258910262090376</v>
      </c>
      <c r="K10" s="22" t="n">
        <v>-0.001569775613138447</v>
      </c>
      <c r="L10" s="14" t="n">
        <v>82</v>
      </c>
      <c r="M10" s="22" t="n">
        <v>0.002646277164591531</v>
      </c>
      <c r="N10" s="22" t="n">
        <v>-0.005661725076029073</v>
      </c>
      <c r="O10" s="25" t="n">
        <v>-2.139505699473091</v>
      </c>
    </row>
    <row r="12">
      <c r="A12" s="2" t="inlineStr">
        <is>
          <t>Comisión = % del sueldo imponible, aparte del 10% (SP, vigente desde el 01-10-2025).</t>
        </is>
      </c>
    </row>
    <row r="13">
      <c r="A13" s="2" t="inlineStr">
        <is>
          <t>Costo en pensión = (comisión − comisión más baja) / 10% × pensión autofinanciada (la pensión es lineal en los aportes).</t>
        </is>
      </c>
    </row>
    <row r="14">
      <c r="A14" s="2" t="inlineStr">
        <is>
          <t>Rentabilidad extra para compensar = retorno real anual adicional que iguala esa pensión (fondo por defecto, consenso 2026).</t>
        </is>
      </c>
    </row>
    <row r="15">
      <c r="A15" s="2" t="inlineStr">
        <is>
          <t>Alfa = rentabilidad real anual frente al promedio ponderado de las demás AFP, promedio de los 5 fondos; común = nov-2019 a ago-2026 (las 7 AFP). t_vs_equilibrio = (alfa − necesaria) / error estándar.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1" customWidth="1" min="4" max="4"/>
    <col width="21" customWidth="1" min="5" max="5"/>
    <col width="12" customWidth="1" min="6" max="6"/>
  </cols>
  <sheetData>
    <row r="1">
      <c r="A1" s="21" t="inlineStr">
        <is>
          <t>¿Ayuda la macro a predecir? Densidad predictiva a un paso fuera de muestra (walk-forward 2015-2026)</t>
        </is>
      </c>
    </row>
    <row r="3">
      <c r="A3" s="3" t="inlineStr">
        <is>
          <t>modelo</t>
        </is>
      </c>
      <c r="B3" s="3" t="inlineStr">
        <is>
          <t>log_score_promedio</t>
        </is>
      </c>
      <c r="C3" s="3" t="inlineStr">
        <is>
          <t>meses</t>
        </is>
      </c>
      <c r="D3" s="3" t="inlineStr">
        <is>
          <t>tvtp_menos_modelo</t>
        </is>
      </c>
      <c r="E3" s="3" t="inlineStr">
        <is>
          <t>t_diebold_mariano</t>
        </is>
      </c>
      <c r="F3" s="3" t="inlineStr">
        <is>
          <t>p_valor</t>
        </is>
      </c>
    </row>
    <row r="4">
      <c r="A4" s="4" t="inlineStr">
        <is>
          <t>HMM constante</t>
        </is>
      </c>
      <c r="B4" s="24" t="n">
        <v>18.19688060959884</v>
      </c>
      <c r="C4" s="14" t="n">
        <v>140</v>
      </c>
      <c r="D4" s="24" t="n">
        <v>-0.0007646710963605142</v>
      </c>
      <c r="E4" s="25" t="n">
        <v>-0.02068102037143527</v>
      </c>
      <c r="F4" s="30" t="n">
        <v>0.983500109332232</v>
      </c>
    </row>
    <row r="5">
      <c r="A5" s="4" t="inlineStr">
        <is>
          <t>HMM con macro (TVTP)</t>
        </is>
      </c>
      <c r="B5" s="24" t="n">
        <v>18.19611593850247</v>
      </c>
      <c r="C5" s="14" t="n">
        <v>140</v>
      </c>
      <c r="D5" s="24" t="n">
        <v>0</v>
      </c>
      <c r="E5" s="25" t="n">
        <v/>
      </c>
      <c r="F5" s="30" t="n">
        <v/>
      </c>
    </row>
    <row r="6">
      <c r="A6" s="4" t="inlineStr">
        <is>
          <t>Normal (sin regímenes)</t>
        </is>
      </c>
      <c r="B6" s="24" t="n">
        <v>17.45985243974132</v>
      </c>
      <c r="C6" s="14" t="n">
        <v>140</v>
      </c>
      <c r="D6" s="24" t="n">
        <v>0.7362634987611505</v>
      </c>
      <c r="E6" s="25" t="n">
        <v>3.412504525197265</v>
      </c>
      <c r="F6" s="30" t="n">
        <v>0.0006436885824909755</v>
      </c>
    </row>
    <row r="8">
      <c r="A8" s="2" t="inlineStr">
        <is>
          <t>Log-score = log p(retornos del mes siguiente | información hasta hoy); mayor es mejor.</t>
        </is>
      </c>
    </row>
    <row r="9">
      <c r="A9" s="2" t="inlineStr">
        <is>
          <t>Diebold-Mariano con varianza HAC (Newey-West, 6 rezagos) sobre la diferencia mensual TVTP − modelo.</t>
        </is>
      </c>
    </row>
    <row r="10">
      <c r="A10" s="2" t="inlineStr">
        <is>
          <t>TVTP: probabilidades de transición = softmax(b + w·z), z = inflación 12m, ΔTPM 6m, dólar 3m, Imacec (rezagados).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7" customWidth="1" min="5" max="5"/>
    <col width="13" customWidth="1" min="6" max="6"/>
  </cols>
  <sheetData>
    <row r="1">
      <c r="A1" s="21" t="inlineStr">
        <is>
          <t>Efecto de +1 desviación estándar de cada variable sobre la probabilidad de cambiar de régimen (muestra completa)</t>
        </is>
      </c>
    </row>
    <row r="3">
      <c r="A3" s="3" t="inlineStr">
        <is>
          <t>variable</t>
        </is>
      </c>
      <c r="B3" s="3" t="inlineStr">
        <is>
          <t>desde</t>
        </is>
      </c>
      <c r="C3" s="3" t="inlineStr">
        <is>
          <t>hacia</t>
        </is>
      </c>
      <c r="D3" s="3" t="inlineStr">
        <is>
          <t>prob_base</t>
        </is>
      </c>
      <c r="E3" s="3" t="inlineStr">
        <is>
          <t>prob_con_+1sd</t>
        </is>
      </c>
      <c r="F3" s="3" t="inlineStr">
        <is>
          <t>cambio_pp</t>
        </is>
      </c>
    </row>
    <row r="4">
      <c r="A4" s="4" t="inlineStr">
        <is>
          <t>Inflación 12 meses (IPC, rezago 1 mes)</t>
        </is>
      </c>
      <c r="B4" s="14" t="n">
        <v>0</v>
      </c>
      <c r="C4" s="14" t="n">
        <v>1</v>
      </c>
      <c r="D4" s="22" t="n">
        <v>0.007113533538454774</v>
      </c>
      <c r="E4" s="22" t="n">
        <v>0.006147412547967908</v>
      </c>
      <c r="F4" s="22" t="n">
        <v>-0.0009661209904868661</v>
      </c>
    </row>
    <row r="5">
      <c r="A5" s="4" t="inlineStr">
        <is>
          <t>Inflación 12 meses (IPC, rezago 1 mes)</t>
        </is>
      </c>
      <c r="B5" s="14" t="n">
        <v>0</v>
      </c>
      <c r="C5" s="14" t="n">
        <v>2</v>
      </c>
      <c r="D5" s="22" t="n">
        <v>0.04027952998959874</v>
      </c>
      <c r="E5" s="22" t="n">
        <v>0.1083892813005483</v>
      </c>
      <c r="F5" s="22" t="n">
        <v>0.06810975131094954</v>
      </c>
    </row>
    <row r="6">
      <c r="A6" s="4" t="inlineStr">
        <is>
          <t>Inflación 12 meses (IPC, rezago 1 mes)</t>
        </is>
      </c>
      <c r="B6" s="14" t="n">
        <v>1</v>
      </c>
      <c r="C6" s="14" t="n">
        <v>0</v>
      </c>
      <c r="D6" s="22" t="n">
        <v>3.626380783916921e-07</v>
      </c>
      <c r="E6" s="22" t="n">
        <v>3.647593157782228e-07</v>
      </c>
      <c r="F6" s="22" t="n">
        <v>2.121237386530683e-09</v>
      </c>
    </row>
    <row r="7">
      <c r="A7" s="4" t="inlineStr">
        <is>
          <t>Inflación 12 meses (IPC, rezago 1 mes)</t>
        </is>
      </c>
      <c r="B7" s="14" t="n">
        <v>1</v>
      </c>
      <c r="C7" s="14" t="n">
        <v>2</v>
      </c>
      <c r="D7" s="22" t="n">
        <v>0.01386195391553562</v>
      </c>
      <c r="E7" s="22" t="n">
        <v>0.008074657056739118</v>
      </c>
      <c r="F7" s="22" t="n">
        <v>-0.0057872968587965</v>
      </c>
    </row>
    <row r="8">
      <c r="A8" s="4" t="inlineStr">
        <is>
          <t>Inflación 12 meses (IPC, rezago 1 mes)</t>
        </is>
      </c>
      <c r="B8" s="14" t="n">
        <v>2</v>
      </c>
      <c r="C8" s="14" t="n">
        <v>0</v>
      </c>
      <c r="D8" s="22" t="n">
        <v>0.4727230182583151</v>
      </c>
      <c r="E8" s="22" t="n">
        <v>0.4589743682034549</v>
      </c>
      <c r="F8" s="22" t="n">
        <v>-0.01374865005486015</v>
      </c>
    </row>
    <row r="9">
      <c r="A9" s="4" t="inlineStr">
        <is>
          <t>Inflación 12 meses (IPC, rezago 1 mes)</t>
        </is>
      </c>
      <c r="B9" s="14" t="n">
        <v>2</v>
      </c>
      <c r="C9" s="14" t="n">
        <v>1</v>
      </c>
      <c r="D9" s="22" t="n">
        <v>3.67627007744074e-06</v>
      </c>
      <c r="E9" s="22" t="n">
        <v>3.771968725577081e-06</v>
      </c>
      <c r="F9" s="22" t="n">
        <v>9.569864813634134e-08</v>
      </c>
    </row>
    <row r="10">
      <c r="A10" s="4" t="inlineStr">
        <is>
          <t>Cambio de la TPM en 6 meses</t>
        </is>
      </c>
      <c r="B10" s="14" t="n">
        <v>0</v>
      </c>
      <c r="C10" s="14" t="n">
        <v>1</v>
      </c>
      <c r="D10" s="22" t="n">
        <v>0.007113533538454774</v>
      </c>
      <c r="E10" s="22" t="n">
        <v>0.008211044641741046</v>
      </c>
      <c r="F10" s="22" t="n">
        <v>0.001097511103286273</v>
      </c>
    </row>
    <row r="11">
      <c r="A11" s="4" t="inlineStr">
        <is>
          <t>Cambio de la TPM en 6 meses</t>
        </is>
      </c>
      <c r="B11" s="14" t="n">
        <v>0</v>
      </c>
      <c r="C11" s="14" t="n">
        <v>2</v>
      </c>
      <c r="D11" s="22" t="n">
        <v>0.04027952998959874</v>
      </c>
      <c r="E11" s="22" t="n">
        <v>0.1641658946386991</v>
      </c>
      <c r="F11" s="22" t="n">
        <v>0.1238863646491004</v>
      </c>
    </row>
    <row r="12">
      <c r="A12" s="4" t="inlineStr">
        <is>
          <t>Cambio de la TPM en 6 meses</t>
        </is>
      </c>
      <c r="B12" s="14" t="n">
        <v>1</v>
      </c>
      <c r="C12" s="14" t="n">
        <v>0</v>
      </c>
      <c r="D12" s="22" t="n">
        <v>3.626380783916921e-07</v>
      </c>
      <c r="E12" s="22" t="n">
        <v>3.64110863939917e-07</v>
      </c>
      <c r="F12" s="22" t="n">
        <v>1.47278554822494e-09</v>
      </c>
    </row>
    <row r="13">
      <c r="A13" s="4" t="inlineStr">
        <is>
          <t>Cambio de la TPM en 6 meses</t>
        </is>
      </c>
      <c r="B13" s="14" t="n">
        <v>1</v>
      </c>
      <c r="C13" s="14" t="n">
        <v>2</v>
      </c>
      <c r="D13" s="22" t="n">
        <v>0.01386195391553562</v>
      </c>
      <c r="E13" s="22" t="n">
        <v>0.009851759947025642</v>
      </c>
      <c r="F13" s="22" t="n">
        <v>-0.004010193968509976</v>
      </c>
    </row>
    <row r="14">
      <c r="A14" s="4" t="inlineStr">
        <is>
          <t>Cambio de la TPM en 6 meses</t>
        </is>
      </c>
      <c r="B14" s="14" t="n">
        <v>2</v>
      </c>
      <c r="C14" s="14" t="n">
        <v>0</v>
      </c>
      <c r="D14" s="22" t="n">
        <v>0.4727230182583151</v>
      </c>
      <c r="E14" s="22" t="n">
        <v>0.5065065435534337</v>
      </c>
      <c r="F14" s="22" t="n">
        <v>0.03378352529511863</v>
      </c>
    </row>
    <row r="15">
      <c r="A15" s="4" t="inlineStr">
        <is>
          <t>Cambio de la TPM en 6 meses</t>
        </is>
      </c>
      <c r="B15" s="14" t="n">
        <v>2</v>
      </c>
      <c r="C15" s="14" t="n">
        <v>1</v>
      </c>
      <c r="D15" s="22" t="n">
        <v>3.67627007744074e-06</v>
      </c>
      <c r="E15" s="22" t="n">
        <v>3.440886989554388e-06</v>
      </c>
      <c r="F15" s="22" t="n">
        <v>-2.353830878863523e-07</v>
      </c>
    </row>
    <row r="16">
      <c r="A16" s="4" t="inlineStr">
        <is>
          <t>Variación del dólar en 3 meses</t>
        </is>
      </c>
      <c r="B16" s="14" t="n">
        <v>0</v>
      </c>
      <c r="C16" s="14" t="n">
        <v>1</v>
      </c>
      <c r="D16" s="22" t="n">
        <v>0.007113533538454774</v>
      </c>
      <c r="E16" s="22" t="n">
        <v>0.006223658201725711</v>
      </c>
      <c r="F16" s="22" t="n">
        <v>-0.0008898753367290631</v>
      </c>
    </row>
    <row r="17">
      <c r="A17" s="4" t="inlineStr">
        <is>
          <t>Variación del dólar en 3 meses</t>
        </is>
      </c>
      <c r="B17" s="14" t="n">
        <v>0</v>
      </c>
      <c r="C17" s="14" t="n">
        <v>2</v>
      </c>
      <c r="D17" s="22" t="n">
        <v>0.04027952998959874</v>
      </c>
      <c r="E17" s="22" t="n">
        <v>0.03101232277030021</v>
      </c>
      <c r="F17" s="22" t="n">
        <v>-0.00926720721929853</v>
      </c>
    </row>
    <row r="18">
      <c r="A18" s="4" t="inlineStr">
        <is>
          <t>Variación del dólar en 3 meses</t>
        </is>
      </c>
      <c r="B18" s="14" t="n">
        <v>1</v>
      </c>
      <c r="C18" s="14" t="n">
        <v>0</v>
      </c>
      <c r="D18" s="22" t="n">
        <v>3.626380783916921e-07</v>
      </c>
      <c r="E18" s="22" t="n">
        <v>3.613501175739493e-07</v>
      </c>
      <c r="F18" s="22" t="n">
        <v>-1.287960817742857e-09</v>
      </c>
    </row>
    <row r="19">
      <c r="A19" s="4" t="inlineStr">
        <is>
          <t>Variación del dólar en 3 meses</t>
        </is>
      </c>
      <c r="B19" s="14" t="n">
        <v>1</v>
      </c>
      <c r="C19" s="14" t="n">
        <v>2</v>
      </c>
      <c r="D19" s="22" t="n">
        <v>0.01386195391553562</v>
      </c>
      <c r="E19" s="22" t="n">
        <v>0.01736274185592507</v>
      </c>
      <c r="F19" s="22" t="n">
        <v>0.003500787940389454</v>
      </c>
    </row>
    <row r="20">
      <c r="A20" s="4" t="inlineStr">
        <is>
          <t>Variación del dólar en 3 meses</t>
        </is>
      </c>
      <c r="B20" s="14" t="n">
        <v>2</v>
      </c>
      <c r="C20" s="14" t="n">
        <v>0</v>
      </c>
      <c r="D20" s="22" t="n">
        <v>0.4727230182583151</v>
      </c>
      <c r="E20" s="22" t="n">
        <v>0.45913699666999</v>
      </c>
      <c r="F20" s="22" t="n">
        <v>-0.01358602158832511</v>
      </c>
    </row>
    <row r="21">
      <c r="A21" s="4" t="inlineStr">
        <is>
          <t>Variación del dólar en 3 meses</t>
        </is>
      </c>
      <c r="B21" s="14" t="n">
        <v>2</v>
      </c>
      <c r="C21" s="14" t="n">
        <v>1</v>
      </c>
      <c r="D21" s="22" t="n">
        <v>3.67627007744074e-06</v>
      </c>
      <c r="E21" s="22" t="n">
        <v>3.770954715106118e-06</v>
      </c>
      <c r="F21" s="22" t="n">
        <v>9.468463766537803e-08</v>
      </c>
    </row>
    <row r="22">
      <c r="A22" s="4" t="inlineStr">
        <is>
          <t>Imacec anual (rezago 2 meses)</t>
        </is>
      </c>
      <c r="B22" s="14" t="n">
        <v>0</v>
      </c>
      <c r="C22" s="14" t="n">
        <v>1</v>
      </c>
      <c r="D22" s="22" t="n">
        <v>0.007113533538454774</v>
      </c>
      <c r="E22" s="22" t="n">
        <v>0.002220170341564814</v>
      </c>
      <c r="F22" s="22" t="n">
        <v>-0.00489336319688996</v>
      </c>
    </row>
    <row r="23">
      <c r="A23" s="4" t="inlineStr">
        <is>
          <t>Imacec anual (rezago 2 meses)</t>
        </is>
      </c>
      <c r="B23" s="14" t="n">
        <v>0</v>
      </c>
      <c r="C23" s="14" t="n">
        <v>2</v>
      </c>
      <c r="D23" s="22" t="n">
        <v>0.04027952998959874</v>
      </c>
      <c r="E23" s="22" t="n">
        <v>0.02939155221399957</v>
      </c>
      <c r="F23" s="22" t="n">
        <v>-0.01088797777559918</v>
      </c>
    </row>
    <row r="24">
      <c r="A24" s="4" t="inlineStr">
        <is>
          <t>Imacec anual (rezago 2 meses)</t>
        </is>
      </c>
      <c r="B24" s="14" t="n">
        <v>1</v>
      </c>
      <c r="C24" s="14" t="n">
        <v>0</v>
      </c>
      <c r="D24" s="22" t="n">
        <v>3.626380783916921e-07</v>
      </c>
      <c r="E24" s="22" t="n">
        <v>3.619939466047499e-07</v>
      </c>
      <c r="F24" s="22" t="n">
        <v>-6.441317869422473e-10</v>
      </c>
    </row>
    <row r="25">
      <c r="A25" s="4" t="inlineStr">
        <is>
          <t>Imacec anual (rezago 2 meses)</t>
        </is>
      </c>
      <c r="B25" s="14" t="n">
        <v>1</v>
      </c>
      <c r="C25" s="14" t="n">
        <v>2</v>
      </c>
      <c r="D25" s="22" t="n">
        <v>0.01386195391553562</v>
      </c>
      <c r="E25" s="22" t="n">
        <v>0.01561265704507581</v>
      </c>
      <c r="F25" s="22" t="n">
        <v>0.001750703129540192</v>
      </c>
    </row>
    <row r="26">
      <c r="A26" s="4" t="inlineStr">
        <is>
          <t>Imacec anual (rezago 2 meses)</t>
        </is>
      </c>
      <c r="B26" s="14" t="n">
        <v>2</v>
      </c>
      <c r="C26" s="14" t="n">
        <v>0</v>
      </c>
      <c r="D26" s="22" t="n">
        <v>0.4727230182583151</v>
      </c>
      <c r="E26" s="22" t="n">
        <v>0.5334271889808903</v>
      </c>
      <c r="F26" s="22" t="n">
        <v>0.06070417072257517</v>
      </c>
    </row>
    <row r="27">
      <c r="A27" s="4" t="inlineStr">
        <is>
          <t>Imacec anual (rezago 2 meses)</t>
        </is>
      </c>
      <c r="B27" s="14" t="n">
        <v>2</v>
      </c>
      <c r="C27" s="14" t="n">
        <v>1</v>
      </c>
      <c r="D27" s="22" t="n">
        <v>3.67627007744074e-06</v>
      </c>
      <c r="E27" s="22" t="n">
        <v>3.253062541141058e-06</v>
      </c>
      <c r="F27" s="22" t="n">
        <v>-4.232075362996822e-07</v>
      </c>
    </row>
    <row r="29">
      <c r="A29" s="2" t="inlineStr">
        <is>
          <t>Regímenes: 0 = calma, 1 = tasas volátiles (post-2019), 2 = crisis bursátil.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25" customWidth="1" min="4" max="4"/>
    <col width="22" customWidth="1" min="5" max="5"/>
    <col width="25" customWidth="1" min="6" max="6"/>
    <col width="17" customWidth="1" min="7" max="7"/>
    <col width="20" customWidth="1" min="8" max="8"/>
    <col width="19" customWidth="1" min="9" max="9"/>
    <col width="22" customWidth="1" min="10" max="10"/>
    <col width="23" customWidth="1" min="11" max="11"/>
    <col width="25" customWidth="1" min="12" max="12"/>
    <col width="24" customWidth="1" min="13" max="13"/>
    <col width="19" customWidth="1" min="14" max="14"/>
  </cols>
  <sheetData>
    <row r="1">
      <c r="A1" s="21" t="inlineStr">
        <is>
          <t>Microsimulación poblacional: resultados por sexo</t>
        </is>
      </c>
    </row>
    <row r="3">
      <c r="A3" s="3" t="inlineStr">
        <is>
          <t>sexo</t>
        </is>
      </c>
      <c r="B3" s="3" t="inlineStr">
        <is>
          <t>personas</t>
        </is>
      </c>
      <c r="C3" s="3" t="inlineStr">
        <is>
          <t>densidad_media</t>
        </is>
      </c>
      <c r="D3" s="3" t="inlineStr">
        <is>
          <t>sueldo_ref_mediano_uf</t>
        </is>
      </c>
      <c r="E3" s="3" t="inlineStr">
        <is>
          <t>pension_10_mediana</t>
        </is>
      </c>
      <c r="F3" s="3" t="inlineStr">
        <is>
          <t>pension_total_mediana</t>
        </is>
      </c>
      <c r="G3" s="3" t="inlineStr">
        <is>
          <t>tr_10_mediana</t>
        </is>
      </c>
      <c r="H3" s="3" t="inlineStr">
        <is>
          <t>tr_total_mediana</t>
        </is>
      </c>
      <c r="I3" s="3" t="inlineStr">
        <is>
          <t>prob_tr_meta_10</t>
        </is>
      </c>
      <c r="J3" s="3" t="inlineStr">
        <is>
          <t>prob_tr_meta_total</t>
        </is>
      </c>
      <c r="K3" s="3" t="inlineStr">
        <is>
          <t>pct_pgu_mayor_mitad</t>
        </is>
      </c>
      <c r="L3" s="3" t="inlineStr">
        <is>
          <t>cv_vs_defecto_mediana</t>
        </is>
      </c>
      <c r="M3" s="3" t="inlineStr">
        <is>
          <t>pct_personas_cv_gana</t>
        </is>
      </c>
      <c r="N3" s="3" t="inlineStr">
        <is>
          <t>pct_sin_pension</t>
        </is>
      </c>
    </row>
    <row r="4">
      <c r="A4" s="4" t="inlineStr">
        <is>
          <t>H</t>
        </is>
      </c>
      <c r="B4" s="14" t="n">
        <v>11239</v>
      </c>
      <c r="C4" s="22" t="n">
        <v>0.5805993638224041</v>
      </c>
      <c r="D4" s="25" t="n">
        <v>26.25829840045317</v>
      </c>
      <c r="E4" s="25" t="n">
        <v>7.481994497828804</v>
      </c>
      <c r="F4" s="25" t="n">
        <v>17.38973362563933</v>
      </c>
      <c r="G4" s="22" t="n">
        <v>0.2670172714202461</v>
      </c>
      <c r="H4" s="22" t="n">
        <v>0.627175283115325</v>
      </c>
      <c r="I4" s="22" t="n">
        <v>0.2357874366046801</v>
      </c>
      <c r="J4" s="22" t="n">
        <v>0.8232382774268173</v>
      </c>
      <c r="K4" s="22" t="n">
        <v>0.3241498353946081</v>
      </c>
      <c r="L4" s="22" t="n">
        <v>0.05220831349824118</v>
      </c>
      <c r="M4" s="22" t="n">
        <v>0.9652994038615536</v>
      </c>
      <c r="N4" s="22" t="n">
        <v>0.001156686537948204</v>
      </c>
    </row>
    <row r="5">
      <c r="A5" s="4" t="inlineStr">
        <is>
          <t>M</t>
        </is>
      </c>
      <c r="B5" s="14" t="n">
        <v>8761</v>
      </c>
      <c r="C5" s="22" t="n">
        <v>0.4988751555867181</v>
      </c>
      <c r="D5" s="25" t="n">
        <v>22.78885777217155</v>
      </c>
      <c r="E5" s="25" t="n">
        <v>3.409478324138548</v>
      </c>
      <c r="F5" s="25" t="n">
        <v>11.29128401947322</v>
      </c>
      <c r="G5" s="22" t="n">
        <v>0.1448364045296125</v>
      </c>
      <c r="H5" s="22" t="n">
        <v>0.4868260432354977</v>
      </c>
      <c r="I5" s="22" t="n">
        <v>0.02233477913480196</v>
      </c>
      <c r="J5" s="22" t="n">
        <v>0.6610569569683826</v>
      </c>
      <c r="K5" s="22" t="n">
        <v>0.5577331354868166</v>
      </c>
      <c r="L5" s="22" t="n">
        <v>0.04604804290898745</v>
      </c>
      <c r="M5" s="22" t="n">
        <v>0.9344823650268235</v>
      </c>
      <c r="N5" s="22" t="n">
        <v>0.001255564433283896</v>
      </c>
    </row>
    <row r="7">
      <c r="A7" s="2" t="inlineStr">
        <is>
          <t>Cohorte sintética que empieza a cotizar a los 25 en 2026. Ingreso lognormal y densidad Beta por sexo calibrados con la SP (2026);</t>
        </is>
      </c>
    </row>
    <row r="8">
      <c r="A8" s="2" t="inlineStr">
        <is>
          <t>lagunas como rachas de empleo formal (cadena de Markov); supuestos de mercado de consenso 2026; fondo por defecto salvo cv_*.</t>
        </is>
      </c>
    </row>
    <row r="9">
      <c r="A9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7" customWidth="1" min="4" max="4"/>
    <col width="20" customWidth="1" min="5" max="5"/>
    <col width="22" customWidth="1" min="6" max="6"/>
    <col width="15" customWidth="1" min="7" max="7"/>
    <col width="25" customWidth="1" min="8" max="8"/>
    <col width="23" customWidth="1" min="9" max="9"/>
    <col width="24" customWidth="1" min="10" max="10"/>
  </cols>
  <sheetData>
    <row r="1">
      <c r="A1" s="21" t="inlineStr">
        <is>
          <t>Microsimulación: tasa de reemplazo y PGU por quintil de ingreso</t>
        </is>
      </c>
    </row>
    <row r="3">
      <c r="A3" s="3" t="inlineStr">
        <is>
          <t>sexo</t>
        </is>
      </c>
      <c r="B3" s="3" t="inlineStr">
        <is>
          <t>quintil</t>
        </is>
      </c>
      <c r="C3" s="3" t="inlineStr">
        <is>
          <t>sueldo_ref_mediano_uf</t>
        </is>
      </c>
      <c r="D3" s="3" t="inlineStr">
        <is>
          <t>tr_10_mediana</t>
        </is>
      </c>
      <c r="E3" s="3" t="inlineStr">
        <is>
          <t>tr_total_mediana</t>
        </is>
      </c>
      <c r="F3" s="3" t="inlineStr">
        <is>
          <t>prob_tr_meta_total</t>
        </is>
      </c>
      <c r="G3" s="3" t="inlineStr">
        <is>
          <t>pgu_mediana</t>
        </is>
      </c>
      <c r="H3" s="3" t="inlineStr">
        <is>
          <t>pension_total_mediana</t>
        </is>
      </c>
      <c r="I3" s="3" t="inlineStr">
        <is>
          <t>cv_vs_defecto_total</t>
        </is>
      </c>
      <c r="J3" s="3" t="inlineStr">
        <is>
          <t>cv_vs_defecto_propia</t>
        </is>
      </c>
    </row>
    <row r="4">
      <c r="A4" s="4" t="inlineStr">
        <is>
          <t>H</t>
        </is>
      </c>
      <c r="B4" s="14" t="n">
        <v>1</v>
      </c>
      <c r="C4" s="25" t="n">
        <v>10.0890592393075</v>
      </c>
      <c r="D4" s="22" t="n">
        <v>0.1970876041893812</v>
      </c>
      <c r="E4" s="22" t="n">
        <v>0.9055514372578255</v>
      </c>
      <c r="F4" s="22" t="n">
        <v>0.9988067170818505</v>
      </c>
      <c r="G4" s="25" t="n">
        <v>6.303600438248517</v>
      </c>
      <c r="H4" s="25" t="n">
        <v>9.515179911634196</v>
      </c>
      <c r="I4" s="22" t="n">
        <v>0.03225722708868506</v>
      </c>
      <c r="J4" s="22" t="n">
        <v>0.09441231508530556</v>
      </c>
    </row>
    <row r="5">
      <c r="A5" s="4" t="inlineStr">
        <is>
          <t>H</t>
        </is>
      </c>
      <c r="B5" s="14" t="n">
        <v>2</v>
      </c>
      <c r="C5" s="25" t="n">
        <v>17.6492084296502</v>
      </c>
      <c r="D5" s="22" t="n">
        <v>0.2372533021486117</v>
      </c>
      <c r="E5" s="22" t="n">
        <v>0.669052509116302</v>
      </c>
      <c r="F5" s="22" t="n">
        <v>0.8609219306049822</v>
      </c>
      <c r="G5" s="25" t="n">
        <v>6.303600438248517</v>
      </c>
      <c r="H5" s="25" t="n">
        <v>13.57942737452789</v>
      </c>
      <c r="I5" s="22" t="n">
        <v>0.05206309830474876</v>
      </c>
      <c r="J5" s="22" t="n">
        <v>0.09143316457570294</v>
      </c>
    </row>
    <row r="6">
      <c r="A6" s="4" t="inlineStr">
        <is>
          <t>H</t>
        </is>
      </c>
      <c r="B6" s="14" t="n">
        <v>3</v>
      </c>
      <c r="C6" s="25" t="n">
        <v>26.25829840045317</v>
      </c>
      <c r="D6" s="22" t="n">
        <v>0.2663475193457446</v>
      </c>
      <c r="E6" s="22" t="n">
        <v>0.6102772824816237</v>
      </c>
      <c r="F6" s="22" t="n">
        <v>0.7845649755229195</v>
      </c>
      <c r="G6" s="25" t="n">
        <v>6.303600438248517</v>
      </c>
      <c r="H6" s="25" t="n">
        <v>18.51658087864134</v>
      </c>
      <c r="I6" s="22" t="n">
        <v>0.05126404819025376</v>
      </c>
      <c r="J6" s="22" t="n">
        <v>0.09171624295446779</v>
      </c>
    </row>
    <row r="7">
      <c r="A7" s="4" t="inlineStr">
        <is>
          <t>H</t>
        </is>
      </c>
      <c r="B7" s="14" t="n">
        <v>4</v>
      </c>
      <c r="C7" s="25" t="n">
        <v>39.03507537049039</v>
      </c>
      <c r="D7" s="22" t="n">
        <v>0.2885022240977092</v>
      </c>
      <c r="E7" s="22" t="n">
        <v>0.5525413219485328</v>
      </c>
      <c r="F7" s="22" t="n">
        <v>0.7541270017793594</v>
      </c>
      <c r="G7" s="25" t="n">
        <v>6.303600438248517</v>
      </c>
      <c r="H7" s="25" t="n">
        <v>26.05048364586172</v>
      </c>
      <c r="I7" s="22" t="n">
        <v>0.05322642747730222</v>
      </c>
      <c r="J7" s="22" t="n">
        <v>0.09062953534217799</v>
      </c>
    </row>
    <row r="8">
      <c r="A8" s="4" t="inlineStr">
        <is>
          <t>H</t>
        </is>
      </c>
      <c r="B8" s="14" t="n">
        <v>5</v>
      </c>
      <c r="C8" s="25" t="n">
        <v>67.73478483449657</v>
      </c>
      <c r="D8" s="22" t="n">
        <v>0.3304236211681073</v>
      </c>
      <c r="E8" s="22" t="n">
        <v>0.5027594985976973</v>
      </c>
      <c r="F8" s="22" t="n">
        <v>0.7177535587188613</v>
      </c>
      <c r="G8" s="25" t="n">
        <v>0</v>
      </c>
      <c r="H8" s="25" t="n">
        <v>37.79947549952672</v>
      </c>
      <c r="I8" s="22" t="n">
        <v>0.09139904408910704</v>
      </c>
      <c r="J8" s="22" t="n">
        <v>0.08930687859248865</v>
      </c>
    </row>
    <row r="9">
      <c r="A9" s="4" t="inlineStr">
        <is>
          <t>M</t>
        </is>
      </c>
      <c r="B9" s="14" t="n">
        <v>1</v>
      </c>
      <c r="C9" s="25" t="n">
        <v>8.220943761205294</v>
      </c>
      <c r="D9" s="22" t="n">
        <v>0.1000789667757265</v>
      </c>
      <c r="E9" s="22" t="n">
        <v>0.8749511718502516</v>
      </c>
      <c r="F9" s="22" t="n">
        <v>1</v>
      </c>
      <c r="G9" s="25" t="n">
        <v>6.303600438248517</v>
      </c>
      <c r="H9" s="25" t="n">
        <v>7.62278818472261</v>
      </c>
      <c r="I9" s="22" t="n">
        <v>0.01836549528759068</v>
      </c>
      <c r="J9" s="22" t="n">
        <v>0.1225891130383312</v>
      </c>
    </row>
    <row r="10">
      <c r="A10" s="4" t="inlineStr">
        <is>
          <t>M</t>
        </is>
      </c>
      <c r="B10" s="14" t="n">
        <v>2</v>
      </c>
      <c r="C10" s="25" t="n">
        <v>15.06507534093625</v>
      </c>
      <c r="D10" s="22" t="n">
        <v>0.1278117279541412</v>
      </c>
      <c r="E10" s="22" t="n">
        <v>0.5573505770314425</v>
      </c>
      <c r="F10" s="22" t="n">
        <v>0.8540924657534247</v>
      </c>
      <c r="G10" s="25" t="n">
        <v>6.303600438248517</v>
      </c>
      <c r="H10" s="25" t="n">
        <v>9.625103119302095</v>
      </c>
      <c r="I10" s="22" t="n">
        <v>0.03725086236125719</v>
      </c>
      <c r="J10" s="22" t="n">
        <v>0.1182546318284345</v>
      </c>
    </row>
    <row r="11">
      <c r="A11" s="4" t="inlineStr">
        <is>
          <t>M</t>
        </is>
      </c>
      <c r="B11" s="14" t="n">
        <v>3</v>
      </c>
      <c r="C11" s="25" t="n">
        <v>22.789244250418</v>
      </c>
      <c r="D11" s="22" t="n">
        <v>0.1430008860534954</v>
      </c>
      <c r="E11" s="22" t="n">
        <v>0.4546856376626829</v>
      </c>
      <c r="F11" s="22" t="n">
        <v>0.6190139840182648</v>
      </c>
      <c r="G11" s="25" t="n">
        <v>6.303600438248517</v>
      </c>
      <c r="H11" s="25" t="n">
        <v>11.98320641609059</v>
      </c>
      <c r="I11" s="22" t="n">
        <v>0.05013557461240958</v>
      </c>
      <c r="J11" s="22" t="n">
        <v>0.1040122345109671</v>
      </c>
    </row>
    <row r="12">
      <c r="A12" s="4" t="inlineStr">
        <is>
          <t>M</t>
        </is>
      </c>
      <c r="B12" s="14" t="n">
        <v>4</v>
      </c>
      <c r="C12" s="25" t="n">
        <v>34.48010670630391</v>
      </c>
      <c r="D12" s="22" t="n">
        <v>0.159219029977004</v>
      </c>
      <c r="E12" s="22" t="n">
        <v>0.3968568078220203</v>
      </c>
      <c r="F12" s="22" t="n">
        <v>0.4924429223744292</v>
      </c>
      <c r="G12" s="25" t="n">
        <v>6.303600438248517</v>
      </c>
      <c r="H12" s="25" t="n">
        <v>15.91498209493261</v>
      </c>
      <c r="I12" s="22" t="n">
        <v>0.0547507385456214</v>
      </c>
      <c r="J12" s="22" t="n">
        <v>0.1177811378312603</v>
      </c>
    </row>
    <row r="13">
      <c r="A13" s="4" t="inlineStr">
        <is>
          <t>M</t>
        </is>
      </c>
      <c r="B13" s="14" t="n">
        <v>5</v>
      </c>
      <c r="C13" s="25" t="n">
        <v>62.82966770704746</v>
      </c>
      <c r="D13" s="22" t="n">
        <v>0.1883770187870422</v>
      </c>
      <c r="E13" s="22" t="n">
        <v>0.338229335071116</v>
      </c>
      <c r="F13" s="22" t="n">
        <v>0.3395419520547945</v>
      </c>
      <c r="G13" s="25" t="n">
        <v>0.4497467459310651</v>
      </c>
      <c r="H13" s="25" t="n">
        <v>24.07750780202309</v>
      </c>
      <c r="I13" s="22" t="n">
        <v>0.06879387571046225</v>
      </c>
      <c r="J13" s="22" t="n">
        <v>0.1180706210236555</v>
      </c>
    </row>
    <row r="15">
      <c r="A15" s="2" t="inlineStr">
        <is>
          <t>Cohorte sintética que empieza a cotizar a los 25 en 2026. Ingreso lognormal y densidad Beta por sexo calibrados con la SP (2026);</t>
        </is>
      </c>
    </row>
    <row r="16">
      <c r="A16" s="2" t="inlineStr">
        <is>
          <t>lagunas como rachas de empleo formal (cadena de Markov); supuestos de mercado de consenso 2026; fondo por defecto salvo cv_*.</t>
        </is>
      </c>
    </row>
    <row r="17">
      <c r="A17" s="2" t="inlineStr">
        <is>
          <t>Métricas por persona: mediana sobre 400 escenarios de mercado comunes a toda la cohorte.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</cols>
  <sheetData>
    <row r="1">
      <c r="A1" s="21" t="inlineStr">
        <is>
          <t>Descomposición de Shapley de la brecha de pensión total mediana mujer/hombre</t>
        </is>
      </c>
    </row>
    <row r="3">
      <c r="A3" s="3" t="inlineStr">
        <is>
          <t>factor</t>
        </is>
      </c>
      <c r="B3" s="3" t="inlineStr">
        <is>
          <t>aporte_uf</t>
        </is>
      </c>
      <c r="C3" s="3" t="inlineStr">
        <is>
          <t>aporte_pp_brecha</t>
        </is>
      </c>
    </row>
    <row r="4">
      <c r="A4" s="4" t="inlineStr">
        <is>
          <t>Densidad de cotización</t>
        </is>
      </c>
      <c r="B4" s="25" t="n">
        <v>1.720811102106209</v>
      </c>
      <c r="C4" s="22" t="n">
        <v>0.09740884310220008</v>
      </c>
    </row>
    <row r="5">
      <c r="A5" s="4" t="inlineStr">
        <is>
          <t>Nivel de ingreso</t>
        </is>
      </c>
      <c r="B5" s="25" t="n">
        <v>1.163122203027938</v>
      </c>
      <c r="C5" s="22" t="n">
        <v>0.065840107635731</v>
      </c>
    </row>
    <row r="6">
      <c r="A6" s="4" t="inlineStr">
        <is>
          <t>Edad de pensión (60 vs 65)</t>
        </is>
      </c>
      <c r="B6" s="25" t="n">
        <v>2.612171037987555</v>
      </c>
      <c r="C6" s="22" t="n">
        <v>0.1478654795311381</v>
      </c>
    </row>
    <row r="7">
      <c r="A7" s="4" t="inlineStr">
        <is>
          <t>Esperanza de vida (tabla de mortalidad)</t>
        </is>
      </c>
      <c r="B7" s="25" t="n">
        <v>0.7289185736611913</v>
      </c>
      <c r="C7" s="22" t="n">
        <v>0.0412614231097982</v>
      </c>
    </row>
    <row r="8">
      <c r="A8" s="4" t="inlineStr">
        <is>
          <t>Residuo (fondo por defecto por sexo y muestreo)</t>
        </is>
      </c>
      <c r="B8" s="25" t="n">
        <v>0.1177015996468711</v>
      </c>
      <c r="C8" s="22" t="n">
        <v>0.006662658463120724</v>
      </c>
    </row>
    <row r="10">
      <c r="A10" s="2" t="inlineStr">
        <is>
          <t>Aporte = efecto marginal promedio de asignar a las mujeres la característica de los hombres, sobre todos los órdenes.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  <row r="12">
      <c r="A12" s="4" t="inlineStr">
        <is>
          <t>Comisiones de las AFP (vigentes desde el 01-10-2025): SP, Sistema de AFP (spensiones.cl).</t>
        </is>
      </c>
    </row>
    <row r="13">
      <c r="A13" s="4" t="inlineStr">
        <is>
          <t>Variables macro (IPC, TPM, dólar observado, Imacec): API pública de mindicador.cl, que republica series del BCCh y el 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2026-09-29T15:51:13Z</dcterms:created>
  <dcterms:modified xmlns:dcterms="http://purl.org/dc/terms/" xmlns:xsi="http://www.w3.org/2001/XMLSchema-instance" xsi:type="dcterms:W3CDTF">2026-09-29T15:51:14Z</dcterms:modified>
</cp:coreProperties>
</file>