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mulador_Pension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Mortalidad_H" sheetId="4" state="visible" r:id="rId4"/>
    <sheet xmlns:r="http://schemas.openxmlformats.org/officeDocument/2006/relationships" name="Mortalidad_M" sheetId="5" state="visible" r:id="rId5"/>
    <sheet xmlns:r="http://schemas.openxmlformats.org/officeDocument/2006/relationships" name="Calidad_datos" sheetId="6" state="visible" r:id="rId6"/>
    <sheet xmlns:r="http://schemas.openxmlformats.org/officeDocument/2006/relationships" name="Rentabilidad" sheetId="7" state="visible" r:id="rId7"/>
    <sheet xmlns:r="http://schemas.openxmlformats.org/officeDocument/2006/relationships" name="Regimenes_HMM" sheetId="8" state="visible" r:id="rId8"/>
    <sheet xmlns:r="http://schemas.openxmlformats.org/officeDocument/2006/relationships" name="GARCH" sheetId="9" state="visible" r:id="rId9"/>
    <sheet xmlns:r="http://schemas.openxmlformats.org/officeDocument/2006/relationships" name="MonteCarlo_H" sheetId="10" state="visible" r:id="rId10"/>
    <sheet xmlns:r="http://schemas.openxmlformats.org/officeDocument/2006/relationships" name="MonteCarlo_M" sheetId="11" state="visible" r:id="rId11"/>
    <sheet xmlns:r="http://schemas.openxmlformats.org/officeDocument/2006/relationships" name="Sensibilidad" sheetId="12" state="visible" r:id="rId12"/>
    <sheet xmlns:r="http://schemas.openxmlformats.org/officeDocument/2006/relationships" name="Backtest_2002_2026" sheetId="13" state="visible" r:id="rId13"/>
    <sheet xmlns:r="http://schemas.openxmlformats.org/officeDocument/2006/relationships" name="Bandas_FG" sheetId="14" state="visible" r:id="rId14"/>
    <sheet xmlns:r="http://schemas.openxmlformats.org/officeDocument/2006/relationships" name="Robustez" sheetId="15" state="visible" r:id="rId15"/>
    <sheet xmlns:r="http://schemas.openxmlformats.org/officeDocument/2006/relationships" name="Escenarios_mercado" sheetId="16" state="visible" r:id="rId16"/>
    <sheet xmlns:r="http://schemas.openxmlformats.org/officeDocument/2006/relationships" name="Pension_total" sheetId="17" state="visible" r:id="rId17"/>
    <sheet xmlns:r="http://schemas.openxmlformats.org/officeDocument/2006/relationships" name="Pension_por_ingreso" sheetId="18" state="visible" r:id="rId18"/>
    <sheet xmlns:r="http://schemas.openxmlformats.org/officeDocument/2006/relationships" name="Glidepath_optimo" sheetId="19" state="visible" r:id="rId19"/>
    <sheet xmlns:r="http://schemas.openxmlformats.org/officeDocument/2006/relationships" name="Comisiones_AFP" sheetId="20" state="visible" r:id="rId20"/>
    <sheet xmlns:r="http://schemas.openxmlformats.org/officeDocument/2006/relationships" name="Regimenes_macro" sheetId="21" state="visible" r:id="rId21"/>
    <sheet xmlns:r="http://schemas.openxmlformats.org/officeDocument/2006/relationships" name="Regimenes_macro_efectos" sheetId="22" state="visible" r:id="rId22"/>
    <sheet xmlns:r="http://schemas.openxmlformats.org/officeDocument/2006/relationships" name="Poblacion_sexo" sheetId="23" state="visible" r:id="rId23"/>
    <sheet xmlns:r="http://schemas.openxmlformats.org/officeDocument/2006/relationships" name="Poblacion_quintil" sheetId="24" state="visible" r:id="rId24"/>
    <sheet xmlns:r="http://schemas.openxmlformats.org/officeDocument/2006/relationships" name="Brecha_genero" sheetId="25" state="visible" r:id="rId25"/>
    <sheet xmlns:r="http://schemas.openxmlformats.org/officeDocument/2006/relationships" name="Incertidumbre" sheetId="26" state="visible" r:id="rId26"/>
    <sheet xmlns:r="http://schemas.openxmlformats.org/officeDocument/2006/relationships" name="Fuent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$#,##0"/>
    <numFmt numFmtId="166" formatCode="0.0000"/>
    <numFmt numFmtId="167" formatCode="0.0"/>
    <numFmt numFmtId="168" formatCode="#,##0.0"/>
    <numFmt numFmtId="169" formatCode="0.0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1" fontId="7" fillId="0" borderId="0" pivotButton="0" quotePrefix="0" xfId="0"/>
    <xf numFmtId="3" fontId="7" fillId="0" borderId="0" pivotButton="0" quotePrefix="0" xfId="0"/>
    <xf numFmtId="10" fontId="7" fillId="0" borderId="0" pivotButton="0" quotePrefix="0" xfId="0"/>
    <xf numFmtId="0" fontId="5" fillId="0" borderId="0" pivotButton="0" quotePrefix="0" xfId="0"/>
    <xf numFmtId="4" fontId="8" fillId="0" borderId="0" pivotButton="0" quotePrefix="0" xfId="0"/>
    <xf numFmtId="165" fontId="9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10" fontId="6" fillId="3" borderId="0" pivotButton="0" quotePrefix="0" xfId="0"/>
    <xf numFmtId="4" fontId="6" fillId="3" borderId="0" pivotButton="0" quotePrefix="0" xfId="0"/>
    <xf numFmtId="0" fontId="10" fillId="0" borderId="0" pivotButton="0" quotePrefix="0" xfId="0"/>
    <xf numFmtId="10" fontId="6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2" fontId="6" fillId="0" borderId="0" pivotButton="0" quotePrefix="0" xfId="0"/>
    <xf numFmtId="168" fontId="6" fillId="0" borderId="0" pivotButton="0" quotePrefix="0" xfId="0"/>
    <xf numFmtId="1" fontId="6" fillId="0" borderId="0" pivotButton="0" quotePrefix="0" xfId="0"/>
    <xf numFmtId="10" fontId="4" fillId="0" borderId="0" pivotButton="0" quotePrefix="0" xfId="0"/>
    <xf numFmtId="3" fontId="6" fillId="0" borderId="0" pivotButton="0" quotePrefix="0" xfId="0"/>
    <xf numFmtId="16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70" customWidth="1" min="3" max="3"/>
  </cols>
  <sheetData>
    <row r="1">
      <c r="A1" s="1" t="inlineStr">
        <is>
          <t>De multifondos a fondos generacionales: riesgo, regímenes y pensiones en Chile</t>
        </is>
      </c>
    </row>
    <row r="2">
      <c r="A2" s="2" t="inlineStr">
        <is>
          <t>Datos: 01-01-2002 a 16-09-2026. Valores en azul provienen del pipeline en Python (run_pipeline.py).</t>
        </is>
      </c>
    </row>
    <row r="4">
      <c r="A4" s="3" t="inlineStr">
        <is>
          <t>#</t>
        </is>
      </c>
      <c r="B4" s="3" t="inlineStr">
        <is>
          <t>Hallazgo</t>
        </is>
      </c>
      <c r="C4" s="3" t="inlineStr">
        <is>
          <t>Evidencia</t>
        </is>
      </c>
    </row>
    <row r="5" ht="48" customHeight="1">
      <c r="A5" s="4" t="n">
        <v>1</v>
      </c>
      <c r="B5" s="5" t="inlineStr">
        <is>
          <t>La inflación se lleva ~3,9 puntos al año: la rentabilidad real es mucho menor que la publicitada.</t>
        </is>
      </c>
      <c r="C5" s="6" t="inlineStr">
        <is>
          <t>Fondo A: 9,9% nominal vs 5,8% real; Fondo E: 6,8% vs 2,8% (ago-2002 a ago-2026).</t>
        </is>
      </c>
    </row>
    <row r="6" ht="48" customHeight="1">
      <c r="A6" s="4" t="n">
        <v>2</v>
      </c>
      <c r="B6" s="5" t="inlineStr">
        <is>
          <t>El Fondo E no es un refugio: su peor caída real fue mayor que la del D y similar a la del C.</t>
        </is>
      </c>
      <c r="C6" s="6" t="inlineStr">
        <is>
          <t>Máx. caída real: C -24,4%, D -21,9%, E -24,3%.</t>
        </is>
      </c>
    </row>
    <row r="7" ht="48" customHeight="1">
      <c r="A7" s="4" t="n">
        <v>3</v>
      </c>
      <c r="B7" s="5" t="inlineStr">
        <is>
          <t>Desde 2019 el mercado chileno opera en un régimen nuevo, nunca visto antes.</t>
        </is>
      </c>
      <c r="C7" s="6" t="inlineStr">
        <is>
          <t>El HMM (3 estados, BIC) detecta un régimen que domina desde 05-2019; en él el Fondo E tiene volatilidad real de 8,9% (vs 2,4% en calma) y la correlación C–E subió a 0,81 (IC 90%: 0,69 a 0,89). Bootstrap paramétrico (200 réplicas): volatilidad del E en ese régimen entre 5,9% y 10,2%; el régimen se recupera (&gt;50% de los meses desde el quiebre) en 92% de las réplicas.</t>
        </is>
      </c>
    </row>
    <row r="8" ht="48" customHeight="1">
      <c r="A8" s="4" t="n">
        <v>4</v>
      </c>
      <c r="B8" s="5" t="inlineStr">
        <is>
          <t>Con la trayectoria oficial de los fondos generacionales, el ciclo de vida supera al fondo por defecto actual.</t>
        </is>
      </c>
      <c r="C8" s="6" t="inlineStr">
        <is>
          <t>Hombre: mediana 14,8 vs 10,1 UF (+46%); percentil 5: 7,2 vs 6,0 UF. Sin extrapolar sobre el Fondo A: +40%. Con historias alternativas (bootstrap por bloques) el IC 90% es -14% a +120%: ver hallazgo 9.</t>
        </is>
      </c>
    </row>
    <row r="9" ht="48" customHeight="1">
      <c r="A9" s="4" t="n">
        <v>5</v>
      </c>
      <c r="B9" s="5" t="inlineStr">
        <is>
          <t>Cambiarse de fondo reaccionando a las caídas no mejora la pensión esperada y suele costar.</t>
        </is>
      </c>
      <c r="C9" s="6" t="inlineStr">
        <is>
          <t>Mediana -4,9% y percentil 5 -8,3% vs el por defecto (≈15 traspasos). En la historia 2002-2026 la misma regla quedó en +2,3%: un solo camino no basta para juzgar. Con historias alternativas el IC 90% es -8,7% a +8,5%.</t>
        </is>
      </c>
    </row>
    <row r="10" ht="48" customHeight="1">
      <c r="A10" s="4" t="n">
        <v>6</v>
      </c>
      <c r="B10" s="5" t="inlineStr">
        <is>
          <t>La brecha de género es estructural, incluso con el mismo sueldo y la misma estrategia.</t>
        </is>
      </c>
      <c r="C10" s="6" t="inlineStr">
        <is>
          <t>Por defecto: hombre 10,1 UF vs mujer 6,5 UF (-36%): 5 años menos de ahorro y mayor longevidad (CNU 234 vs 194).</t>
        </is>
      </c>
    </row>
    <row r="11" ht="48" customHeight="1">
      <c r="A11" s="4" t="n">
        <v>7</v>
      </c>
      <c r="B11" s="5" t="inlineStr">
        <is>
          <t>Las bandas de premios y castigos son ~3 veces más anchas que la dispersión histórica entre AFP.</t>
        </is>
      </c>
      <c r="C11" s="6" t="inlineStr">
        <is>
          <t>El 95% de las desviaciones de 36 meses vs pares es menor a 0,83%; con banda ±2,4% solo 0,2% de los AFP-meses habría quedado fuera, y con la banda de transición de ±4,0% (abr-2028 a mar-2031), 0,0%. El incentivo dependerá de cuánto difiera la cartera de referencia de lo que hoy invierten las AFP.</t>
        </is>
      </c>
    </row>
    <row r="12" ht="48" customHeight="1">
      <c r="A12" s="4" t="n">
        <v>8</v>
      </c>
      <c r="B12" s="5" t="inlineStr">
        <is>
          <t>Las dos conclusiones sobre estrategias resisten 13 supuestos alternativos, y reaccionar más rápido cuesta más.</t>
        </is>
      </c>
      <c r="C12" s="6" t="inlineStr">
        <is>
          <t>El ciclo de vida supera al por defecto en 91%–93% de los escenarios en todos los casos (mediana +28% a +51%). La regla reactiva pierde en la mediana en los 13 casos: -9,7% si reacciona ante caídas de 4% (≈26 traspasos) y -0,9% si espera caídas de 10%.</t>
        </is>
      </c>
    </row>
    <row r="13" ht="48" customHeight="1">
      <c r="A13" s="4" t="n">
        <v>9</v>
      </c>
      <c r="B13" s="5" t="inlineStr">
        <is>
          <t>La ventaja del ciclo de vida es, en el fondo, una apuesta a la prima de la renta variable, y 24 años de historia no la aseguran.</t>
        </is>
      </c>
      <c r="C13" s="6" t="inlineStr">
        <is>
          <t>Remuestreando la historia por bloques (200 historias), la prima real del A sobre el E va de -2,0% a +7,2% (IC 90%) y explica la ventaja del ciclo de vida (correlación 0,94). El ciclo de vida gana en la mediana en 86% de las historias; cuando la prima es negativa, pierde.</t>
        </is>
      </c>
    </row>
    <row r="14" ht="48" customHeight="1">
      <c r="A14" s="4" t="n">
        <v>10</v>
      </c>
      <c r="B14" s="5" t="inlineStr">
        <is>
          <t>Con las expectativas de mercado actuales, la ventaja del ciclo de vida es real pero mucho menor que la histórica.</t>
        </is>
      </c>
      <c r="C14" s="6" t="inlineStr">
        <is>
          <t>Recentrando los escenarios en el consenso 2026 (renta fija UF 2,52%, renta variable global 4,4% real): Fondo A 4,1% y E 2,7% real/año; ciclo de vida vs por defecto +12% en la mediana (vs +46% con la historia), percentil 5 -2%, gana en 68% de los escenarios. Sin prima de crecimiento: -1%. La probabilidad de alcanzar una tasa de reemplazo de 40% es 10% (por defecto) y 25% (ciclo de vida).</t>
        </is>
      </c>
    </row>
    <row r="15" ht="48" customHeight="1">
      <c r="A15" s="4" t="n">
        <v>11</v>
      </c>
      <c r="B15" s="5" t="inlineStr">
        <is>
          <t>La reforma de 2025 cambia más la pensión que cualquier estrategia de inversión: la tasa de reemplazo se duplica.</t>
        </is>
      </c>
      <c r="C15" s="6" t="inlineStr">
        <is>
          <t>Fondo por defecto, consenso 2026. Hombre: solo con el 10% del trabajador, tasa de reemplazo mediana 27% (10% llega a 40%); con cotización del empleador, rentabilidad protegida y PGU, 58% (98% llega a 40%). Mujer (PGU desde los 65): 17% → 43%. La PGU es progresiva: con sueldo de 15 UF la tasa total es 69% y con 60 UF, 40%.</t>
        </is>
      </c>
    </row>
    <row r="16" ht="48" customHeight="1">
      <c r="A16" s="4" t="n">
        <v>12</v>
      </c>
      <c r="B16" s="5" t="inlineStr">
        <is>
          <t>El glidepath oficial está muy cerca del óptimo, y la PGU justifica llegar al retiro con más riesgo.</t>
        </is>
      </c>
      <c r="C16" s="6" t="inlineStr">
        <is>
          <t>Maximizando la utilidad CRRA de la pensión total (hombre, consenso 2026, escenarios de prueba), el mejor glidepath de la familia supera al oficial en solo +0,3% a +3,1% de pensión equivalente cierta (aversión γ de 2 a 5); el fondo por defecto de la ley queda -9% a -1% bajo el oficial. Con γ = 3, el óptimo llega al retiro con 70% en crecimiento si se cuenta la PGU y 40% sin ella (el oficial, 29%): la PGU actúa como un bono.</t>
        </is>
      </c>
    </row>
    <row r="17" ht="48" customHeight="1">
      <c r="A17" s="4" t="n">
        <v>13</v>
      </c>
      <c r="B17" s="5" t="inlineStr">
        <is>
          <t>En la población real la pensión depende sobre todo del ingreso y de las lagunas: la PGU la vuelve muy progresiva.</t>
        </is>
      </c>
      <c r="C17" s="6" t="inlineStr">
        <is>
          <t>Microsimulación de 20 mil personas con ingreso y densidad calibrados con la SP (consenso 2026, fondo por defecto): tasa de reemplazo total mediana 63% en hombres y 49% en mujeres (solo con el 10%: 27% y 14%). Del quintil 1 al 5 la tasa total baja de 91% a 50% (hombres). La PGU es más de la mitad de la pensión en 56% de los casos de mujeres. El ciclo de vida sube la pensión total +3% en el quintil 1 y +9% en el 5: la PGU amortigua su efecto en los de menores ingresos.</t>
        </is>
      </c>
    </row>
    <row r="18" ht="48" customHeight="1">
      <c r="A18" s="4" t="n">
        <v>14</v>
      </c>
      <c r="B18" s="5" t="inlineStr">
        <is>
          <t>La edad de pensión es la principal causa de la brecha de género, por sobre las lagunas y el sueldo.</t>
        </is>
      </c>
      <c r="C18" s="6" t="inlineStr">
        <is>
          <t>La pensión total mediana de una mujer es 36% menor que la de un hombre. Descomposición de Shapley: densidad de cotización 9,7 pp; nivel de ingreso 6,6 pp; edad de pensión (60 vs 65) 14,8 pp; esperanza de vida (tabla de mortalidad) 4,1 pp. El factor más importante es «Edad de pensión (60 vs 65)», con 41% de la brecha.</t>
        </is>
      </c>
    </row>
    <row r="19" ht="48" customHeight="1">
      <c r="A19" s="4" t="n">
        <v>15</v>
      </c>
      <c r="B19" s="5" t="inlineStr">
        <is>
          <t>Pagar más comisión no compra más rentabilidad: ninguna AFP rindió lo suficiente para compensar su comisión.</t>
        </is>
      </c>
      <c r="C19" s="6" t="inlineStr">
        <is>
          <t>Las comisiones van de 0,46% (Uno) a 1,45% (Provida) del sueldo. Como se cobran aparte de la cotización, la diferencia equivale a dejar de ahorrar 9,9% de la pensión autofinanciada (0,96 UF al mes para el hombre tipo; 135 vs 43 UF pagadas en la vida laboral). Para compensarla, Provida necesitaría rendir 0,41% más al año; entre nov-2019 y ago-2026 rindió -0,16% frente a sus pares (t vs equilibrio -2,1). La que más rindió (Capital, +0,25%) tampoco alcanzó su equilibrio (0,41%), y ninguna diferencia de rentabilidad es significativa.</t>
        </is>
      </c>
    </row>
    <row r="20" ht="48" customHeight="1">
      <c r="A20" s="4" t="n">
        <v>16</v>
      </c>
      <c r="B20" s="5" t="inlineStr">
        <is>
          <t>Los regímenes mejoran la predicción del mes siguiente, pero las variables macro no ayudan a anticiparlos.</t>
        </is>
      </c>
      <c r="C20" s="6" t="inlineStr">
        <is>
          <t>Validación fuera de muestra 2015-2026 (140 meses, reestimación anual): el HMM supera a una normal sin regímenes en +0,74 de log-score por mes (Diebold-Mariano p = 0,001). Agregar IPC, TPM, dólar e Imacec a las transiciones (TVTP) no mejora: -0,001 por mes (p = 0,98). Dentro de muestra, una TPM que sube 1 desviación estándar eleva la probabilidad de pasar de la calma a la crisis de 4% a 16%, pero el quiebre de 2019 ocurrió una sola vez: no hay transiciones suficientes para aprender qué lo gatilla.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Simulador de pensión por Retiro Programado (primer año)</t>
        </is>
      </c>
    </row>
    <row r="2">
      <c r="A2" s="2" t="inlineStr">
        <is>
          <t>Cambia los valores amarillos en 'Parametros'. Simplificación: sin beneficiarios de sobrevivencia.</t>
        </is>
      </c>
    </row>
    <row r="4">
      <c r="B4" s="4" t="inlineStr">
        <is>
          <t>Sexo</t>
        </is>
      </c>
      <c r="C4" s="7">
        <f>Parametros!B2</f>
        <v/>
      </c>
    </row>
    <row r="5">
      <c r="B5" s="4" t="inlineStr">
        <is>
          <t>Edad al pensionarse</t>
        </is>
      </c>
      <c r="C5" s="8">
        <f>Parametros!B3</f>
        <v/>
      </c>
    </row>
    <row r="6">
      <c r="B6" s="4" t="inlineStr">
        <is>
          <t>Saldo (UF)</t>
        </is>
      </c>
      <c r="C6" s="9">
        <f>Parametros!B4</f>
        <v/>
      </c>
    </row>
    <row r="7">
      <c r="B7" s="4" t="inlineStr">
        <is>
          <t>TITRP</t>
        </is>
      </c>
      <c r="C7" s="10">
        <f>Parametros!B6</f>
        <v/>
      </c>
    </row>
    <row r="8">
      <c r="B8" s="11" t="inlineStr">
        <is>
          <t>Capital Necesario Unitario (CNU)</t>
        </is>
      </c>
      <c r="C8" s="12">
        <f>SUM(H12:H731)</f>
        <v/>
      </c>
    </row>
    <row r="9">
      <c r="B9" s="11" t="inlineStr">
        <is>
          <t>Pensión mensual (UF)</t>
        </is>
      </c>
      <c r="C9" s="12">
        <f>C6/C8</f>
        <v/>
      </c>
    </row>
    <row r="10">
      <c r="B10" s="11" t="inlineStr">
        <is>
          <t>Pensión mensual (CLP)</t>
        </is>
      </c>
      <c r="C10" s="13">
        <f>C9*Parametros!B7</f>
        <v/>
      </c>
    </row>
    <row r="11">
      <c r="A11" s="3" t="inlineStr">
        <is>
          <t>Mes k</t>
        </is>
      </c>
      <c r="B11" s="3" t="inlineStr">
        <is>
          <t>Edad</t>
        </is>
      </c>
      <c r="C11" s="3" t="inlineStr">
        <is>
          <t>Año</t>
        </is>
      </c>
      <c r="D11" s="3" t="inlineStr">
        <is>
          <t>qx anual</t>
        </is>
      </c>
      <c r="E11" s="3" t="inlineStr">
        <is>
          <t>q mensual</t>
        </is>
      </c>
      <c r="F11" s="3" t="inlineStr">
        <is>
          <t>Prob. vivo al pago</t>
        </is>
      </c>
      <c r="G11" s="3" t="inlineStr">
        <is>
          <t>Factor descuento</t>
        </is>
      </c>
      <c r="H11" s="3" t="inlineStr">
        <is>
          <t>VP pago</t>
        </is>
      </c>
    </row>
    <row r="12">
      <c r="A12" s="14" t="n">
        <v>0</v>
      </c>
      <c r="B12">
        <f>$C$5+INT(A12/12)</f>
        <v/>
      </c>
      <c r="C12">
        <f>Parametros!$B$5+INT(A12/12)</f>
        <v/>
      </c>
      <c r="D12" s="15">
        <f>IFERROR(IF($C$4="H",INDEX(Mortalidad_H!$B$3:$BX$113,MATCH(B12,Mortalidad_H!$A$3:$A$113,0),MATCH(MIN(C12,2100),Mortalidad_H!$B$2:$BX$2,0)),INDEX(Mortalidad_M!$B$3:$BX$93,MATCH(B12,Mortalidad_M!$A$3:$A$93,0),MATCH(MIN(C12,2100),Mortalidad_M!$B$2:$BX$2,0))),1)</f>
        <v/>
      </c>
      <c r="E12" s="15">
        <f>1-(1-D12)^(1/12)</f>
        <v/>
      </c>
      <c r="F12" s="16" t="n">
        <v>1</v>
      </c>
      <c r="G12" s="16">
        <f>1/(1+$C$7)^(A12/12)</f>
        <v/>
      </c>
      <c r="H12" s="16">
        <f>F12*G12</f>
        <v/>
      </c>
    </row>
    <row r="13">
      <c r="A13" s="14" t="n">
        <v>1</v>
      </c>
      <c r="B13">
        <f>$C$5+INT(A13/12)</f>
        <v/>
      </c>
      <c r="C13">
        <f>Parametros!$B$5+INT(A13/12)</f>
        <v/>
      </c>
      <c r="D13" s="15">
        <f>IFERROR(IF($C$4="H",INDEX(Mortalidad_H!$B$3:$BX$113,MATCH(B13,Mortalidad_H!$A$3:$A$113,0),MATCH(MIN(C13,2100),Mortalidad_H!$B$2:$BX$2,0)),INDEX(Mortalidad_M!$B$3:$BX$93,MATCH(B13,Mortalidad_M!$A$3:$A$93,0),MATCH(MIN(C13,2100),Mortalidad_M!$B$2:$BX$2,0))),1)</f>
        <v/>
      </c>
      <c r="E13" s="15">
        <f>1-(1-D13)^(1/12)</f>
        <v/>
      </c>
      <c r="F13" s="16">
        <f>F12*(1-E12)</f>
        <v/>
      </c>
      <c r="G13" s="16">
        <f>1/(1+$C$7)^(A13/12)</f>
        <v/>
      </c>
      <c r="H13" s="16">
        <f>F13*G13</f>
        <v/>
      </c>
    </row>
    <row r="14">
      <c r="A14" s="14" t="n">
        <v>2</v>
      </c>
      <c r="B14">
        <f>$C$5+INT(A14/12)</f>
        <v/>
      </c>
      <c r="C14">
        <f>Parametros!$B$5+INT(A14/12)</f>
        <v/>
      </c>
      <c r="D14" s="15">
        <f>IFERROR(IF($C$4="H",INDEX(Mortalidad_H!$B$3:$BX$113,MATCH(B14,Mortalidad_H!$A$3:$A$113,0),MATCH(MIN(C14,2100),Mortalidad_H!$B$2:$BX$2,0)),INDEX(Mortalidad_M!$B$3:$BX$93,MATCH(B14,Mortalidad_M!$A$3:$A$93,0),MATCH(MIN(C14,2100),Mortalidad_M!$B$2:$BX$2,0))),1)</f>
        <v/>
      </c>
      <c r="E14" s="15">
        <f>1-(1-D14)^(1/12)</f>
        <v/>
      </c>
      <c r="F14" s="16">
        <f>F13*(1-E13)</f>
        <v/>
      </c>
      <c r="G14" s="16">
        <f>1/(1+$C$7)^(A14/12)</f>
        <v/>
      </c>
      <c r="H14" s="16">
        <f>F14*G14</f>
        <v/>
      </c>
    </row>
    <row r="15">
      <c r="A15" s="14" t="n">
        <v>3</v>
      </c>
      <c r="B15">
        <f>$C$5+INT(A15/12)</f>
        <v/>
      </c>
      <c r="C15">
        <f>Parametros!$B$5+INT(A15/12)</f>
        <v/>
      </c>
      <c r="D15" s="15">
        <f>IFERROR(IF($C$4="H",INDEX(Mortalidad_H!$B$3:$BX$113,MATCH(B15,Mortalidad_H!$A$3:$A$113,0),MATCH(MIN(C15,2100),Mortalidad_H!$B$2:$BX$2,0)),INDEX(Mortalidad_M!$B$3:$BX$93,MATCH(B15,Mortalidad_M!$A$3:$A$93,0),MATCH(MIN(C15,2100),Mortalidad_M!$B$2:$BX$2,0))),1)</f>
        <v/>
      </c>
      <c r="E15" s="15">
        <f>1-(1-D15)^(1/12)</f>
        <v/>
      </c>
      <c r="F15" s="16">
        <f>F14*(1-E14)</f>
        <v/>
      </c>
      <c r="G15" s="16">
        <f>1/(1+$C$7)^(A15/12)</f>
        <v/>
      </c>
      <c r="H15" s="16">
        <f>F15*G15</f>
        <v/>
      </c>
    </row>
    <row r="16">
      <c r="A16" s="14" t="n">
        <v>4</v>
      </c>
      <c r="B16">
        <f>$C$5+INT(A16/12)</f>
        <v/>
      </c>
      <c r="C16">
        <f>Parametros!$B$5+INT(A16/12)</f>
        <v/>
      </c>
      <c r="D16" s="15">
        <f>IFERROR(IF($C$4="H",INDEX(Mortalidad_H!$B$3:$BX$113,MATCH(B16,Mortalidad_H!$A$3:$A$113,0),MATCH(MIN(C16,2100),Mortalidad_H!$B$2:$BX$2,0)),INDEX(Mortalidad_M!$B$3:$BX$93,MATCH(B16,Mortalidad_M!$A$3:$A$93,0),MATCH(MIN(C16,2100),Mortalidad_M!$B$2:$BX$2,0))),1)</f>
        <v/>
      </c>
      <c r="E16" s="15">
        <f>1-(1-D16)^(1/12)</f>
        <v/>
      </c>
      <c r="F16" s="16">
        <f>F15*(1-E15)</f>
        <v/>
      </c>
      <c r="G16" s="16">
        <f>1/(1+$C$7)^(A16/12)</f>
        <v/>
      </c>
      <c r="H16" s="16">
        <f>F16*G16</f>
        <v/>
      </c>
    </row>
    <row r="17">
      <c r="A17" s="14" t="n">
        <v>5</v>
      </c>
      <c r="B17">
        <f>$C$5+INT(A17/12)</f>
        <v/>
      </c>
      <c r="C17">
        <f>Parametros!$B$5+INT(A17/12)</f>
        <v/>
      </c>
      <c r="D17" s="15">
        <f>IFERROR(IF($C$4="H",INDEX(Mortalidad_H!$B$3:$BX$113,MATCH(B17,Mortalidad_H!$A$3:$A$113,0),MATCH(MIN(C17,2100),Mortalidad_H!$B$2:$BX$2,0)),INDEX(Mortalidad_M!$B$3:$BX$93,MATCH(B17,Mortalidad_M!$A$3:$A$93,0),MATCH(MIN(C17,2100),Mortalidad_M!$B$2:$BX$2,0))),1)</f>
        <v/>
      </c>
      <c r="E17" s="15">
        <f>1-(1-D17)^(1/12)</f>
        <v/>
      </c>
      <c r="F17" s="16">
        <f>F16*(1-E16)</f>
        <v/>
      </c>
      <c r="G17" s="16">
        <f>1/(1+$C$7)^(A17/12)</f>
        <v/>
      </c>
      <c r="H17" s="16">
        <f>F17*G17</f>
        <v/>
      </c>
    </row>
    <row r="18">
      <c r="A18" s="14" t="n">
        <v>6</v>
      </c>
      <c r="B18">
        <f>$C$5+INT(A18/12)</f>
        <v/>
      </c>
      <c r="C18">
        <f>Parametros!$B$5+INT(A18/12)</f>
        <v/>
      </c>
      <c r="D18" s="15">
        <f>IFERROR(IF($C$4="H",INDEX(Mortalidad_H!$B$3:$BX$113,MATCH(B18,Mortalidad_H!$A$3:$A$113,0),MATCH(MIN(C18,2100),Mortalidad_H!$B$2:$BX$2,0)),INDEX(Mortalidad_M!$B$3:$BX$93,MATCH(B18,Mortalidad_M!$A$3:$A$93,0),MATCH(MIN(C18,2100),Mortalidad_M!$B$2:$BX$2,0))),1)</f>
        <v/>
      </c>
      <c r="E18" s="15">
        <f>1-(1-D18)^(1/12)</f>
        <v/>
      </c>
      <c r="F18" s="16">
        <f>F17*(1-E17)</f>
        <v/>
      </c>
      <c r="G18" s="16">
        <f>1/(1+$C$7)^(A18/12)</f>
        <v/>
      </c>
      <c r="H18" s="16">
        <f>F18*G18</f>
        <v/>
      </c>
    </row>
    <row r="19">
      <c r="A19" s="14" t="n">
        <v>7</v>
      </c>
      <c r="B19">
        <f>$C$5+INT(A19/12)</f>
        <v/>
      </c>
      <c r="C19">
        <f>Parametros!$B$5+INT(A19/12)</f>
        <v/>
      </c>
      <c r="D19" s="15">
        <f>IFERROR(IF($C$4="H",INDEX(Mortalidad_H!$B$3:$BX$113,MATCH(B19,Mortalidad_H!$A$3:$A$113,0),MATCH(MIN(C19,2100),Mortalidad_H!$B$2:$BX$2,0)),INDEX(Mortalidad_M!$B$3:$BX$93,MATCH(B19,Mortalidad_M!$A$3:$A$93,0),MATCH(MIN(C19,2100),Mortalidad_M!$B$2:$BX$2,0))),1)</f>
        <v/>
      </c>
      <c r="E19" s="15">
        <f>1-(1-D19)^(1/12)</f>
        <v/>
      </c>
      <c r="F19" s="16">
        <f>F18*(1-E18)</f>
        <v/>
      </c>
      <c r="G19" s="16">
        <f>1/(1+$C$7)^(A19/12)</f>
        <v/>
      </c>
      <c r="H19" s="16">
        <f>F19*G19</f>
        <v/>
      </c>
    </row>
    <row r="20">
      <c r="A20" s="14" t="n">
        <v>8</v>
      </c>
      <c r="B20">
        <f>$C$5+INT(A20/12)</f>
        <v/>
      </c>
      <c r="C20">
        <f>Parametros!$B$5+INT(A20/12)</f>
        <v/>
      </c>
      <c r="D20" s="15">
        <f>IFERROR(IF($C$4="H",INDEX(Mortalidad_H!$B$3:$BX$113,MATCH(B20,Mortalidad_H!$A$3:$A$113,0),MATCH(MIN(C20,2100),Mortalidad_H!$B$2:$BX$2,0)),INDEX(Mortalidad_M!$B$3:$BX$93,MATCH(B20,Mortalidad_M!$A$3:$A$93,0),MATCH(MIN(C20,2100),Mortalidad_M!$B$2:$BX$2,0))),1)</f>
        <v/>
      </c>
      <c r="E20" s="15">
        <f>1-(1-D20)^(1/12)</f>
        <v/>
      </c>
      <c r="F20" s="16">
        <f>F19*(1-E19)</f>
        <v/>
      </c>
      <c r="G20" s="16">
        <f>1/(1+$C$7)^(A20/12)</f>
        <v/>
      </c>
      <c r="H20" s="16">
        <f>F20*G20</f>
        <v/>
      </c>
    </row>
    <row r="21">
      <c r="A21" s="14" t="n">
        <v>9</v>
      </c>
      <c r="B21">
        <f>$C$5+INT(A21/12)</f>
        <v/>
      </c>
      <c r="C21">
        <f>Parametros!$B$5+INT(A21/12)</f>
        <v/>
      </c>
      <c r="D21" s="15">
        <f>IFERROR(IF($C$4="H",INDEX(Mortalidad_H!$B$3:$BX$113,MATCH(B21,Mortalidad_H!$A$3:$A$113,0),MATCH(MIN(C21,2100),Mortalidad_H!$B$2:$BX$2,0)),INDEX(Mortalidad_M!$B$3:$BX$93,MATCH(B21,Mortalidad_M!$A$3:$A$93,0),MATCH(MIN(C21,2100),Mortalidad_M!$B$2:$BX$2,0))),1)</f>
        <v/>
      </c>
      <c r="E21" s="15">
        <f>1-(1-D21)^(1/12)</f>
        <v/>
      </c>
      <c r="F21" s="16">
        <f>F20*(1-E20)</f>
        <v/>
      </c>
      <c r="G21" s="16">
        <f>1/(1+$C$7)^(A21/12)</f>
        <v/>
      </c>
      <c r="H21" s="16">
        <f>F21*G21</f>
        <v/>
      </c>
    </row>
    <row r="22">
      <c r="A22" s="14" t="n">
        <v>10</v>
      </c>
      <c r="B22">
        <f>$C$5+INT(A22/12)</f>
        <v/>
      </c>
      <c r="C22">
        <f>Parametros!$B$5+INT(A22/12)</f>
        <v/>
      </c>
      <c r="D22" s="15">
        <f>IFERROR(IF($C$4="H",INDEX(Mortalidad_H!$B$3:$BX$113,MATCH(B22,Mortalidad_H!$A$3:$A$113,0),MATCH(MIN(C22,2100),Mortalidad_H!$B$2:$BX$2,0)),INDEX(Mortalidad_M!$B$3:$BX$93,MATCH(B22,Mortalidad_M!$A$3:$A$93,0),MATCH(MIN(C22,2100),Mortalidad_M!$B$2:$BX$2,0))),1)</f>
        <v/>
      </c>
      <c r="E22" s="15">
        <f>1-(1-D22)^(1/12)</f>
        <v/>
      </c>
      <c r="F22" s="16">
        <f>F21*(1-E21)</f>
        <v/>
      </c>
      <c r="G22" s="16">
        <f>1/(1+$C$7)^(A22/12)</f>
        <v/>
      </c>
      <c r="H22" s="16">
        <f>F22*G22</f>
        <v/>
      </c>
    </row>
    <row r="23">
      <c r="A23" s="14" t="n">
        <v>11</v>
      </c>
      <c r="B23">
        <f>$C$5+INT(A23/12)</f>
        <v/>
      </c>
      <c r="C23">
        <f>Parametros!$B$5+INT(A23/12)</f>
        <v/>
      </c>
      <c r="D23" s="15">
        <f>IFERROR(IF($C$4="H",INDEX(Mortalidad_H!$B$3:$BX$113,MATCH(B23,Mortalidad_H!$A$3:$A$113,0),MATCH(MIN(C23,2100),Mortalidad_H!$B$2:$BX$2,0)),INDEX(Mortalidad_M!$B$3:$BX$93,MATCH(B23,Mortalidad_M!$A$3:$A$93,0),MATCH(MIN(C23,2100),Mortalidad_M!$B$2:$BX$2,0))),1)</f>
        <v/>
      </c>
      <c r="E23" s="15">
        <f>1-(1-D23)^(1/12)</f>
        <v/>
      </c>
      <c r="F23" s="16">
        <f>F22*(1-E22)</f>
        <v/>
      </c>
      <c r="G23" s="16">
        <f>1/(1+$C$7)^(A23/12)</f>
        <v/>
      </c>
      <c r="H23" s="16">
        <f>F23*G23</f>
        <v/>
      </c>
    </row>
    <row r="24">
      <c r="A24" s="14" t="n">
        <v>12</v>
      </c>
      <c r="B24">
        <f>$C$5+INT(A24/12)</f>
        <v/>
      </c>
      <c r="C24">
        <f>Parametros!$B$5+INT(A24/12)</f>
        <v/>
      </c>
      <c r="D24" s="15">
        <f>IFERROR(IF($C$4="H",INDEX(Mortalidad_H!$B$3:$BX$113,MATCH(B24,Mortalidad_H!$A$3:$A$113,0),MATCH(MIN(C24,2100),Mortalidad_H!$B$2:$BX$2,0)),INDEX(Mortalidad_M!$B$3:$BX$93,MATCH(B24,Mortalidad_M!$A$3:$A$93,0),MATCH(MIN(C24,2100),Mortalidad_M!$B$2:$BX$2,0))),1)</f>
        <v/>
      </c>
      <c r="E24" s="15">
        <f>1-(1-D24)^(1/12)</f>
        <v/>
      </c>
      <c r="F24" s="16">
        <f>F23*(1-E23)</f>
        <v/>
      </c>
      <c r="G24" s="16">
        <f>1/(1+$C$7)^(A24/12)</f>
        <v/>
      </c>
      <c r="H24" s="16">
        <f>F24*G24</f>
        <v/>
      </c>
    </row>
    <row r="25">
      <c r="A25" s="14" t="n">
        <v>13</v>
      </c>
      <c r="B25">
        <f>$C$5+INT(A25/12)</f>
        <v/>
      </c>
      <c r="C25">
        <f>Parametros!$B$5+INT(A25/12)</f>
        <v/>
      </c>
      <c r="D25" s="15">
        <f>IFERROR(IF($C$4="H",INDEX(Mortalidad_H!$B$3:$BX$113,MATCH(B25,Mortalidad_H!$A$3:$A$113,0),MATCH(MIN(C25,2100),Mortalidad_H!$B$2:$BX$2,0)),INDEX(Mortalidad_M!$B$3:$BX$93,MATCH(B25,Mortalidad_M!$A$3:$A$93,0),MATCH(MIN(C25,2100),Mortalidad_M!$B$2:$BX$2,0))),1)</f>
        <v/>
      </c>
      <c r="E25" s="15">
        <f>1-(1-D25)^(1/12)</f>
        <v/>
      </c>
      <c r="F25" s="16">
        <f>F24*(1-E24)</f>
        <v/>
      </c>
      <c r="G25" s="16">
        <f>1/(1+$C$7)^(A25/12)</f>
        <v/>
      </c>
      <c r="H25" s="16">
        <f>F25*G25</f>
        <v/>
      </c>
    </row>
    <row r="26">
      <c r="A26" s="14" t="n">
        <v>14</v>
      </c>
      <c r="B26">
        <f>$C$5+INT(A26/12)</f>
        <v/>
      </c>
      <c r="C26">
        <f>Parametros!$B$5+INT(A26/12)</f>
        <v/>
      </c>
      <c r="D26" s="15">
        <f>IFERROR(IF($C$4="H",INDEX(Mortalidad_H!$B$3:$BX$113,MATCH(B26,Mortalidad_H!$A$3:$A$113,0),MATCH(MIN(C26,2100),Mortalidad_H!$B$2:$BX$2,0)),INDEX(Mortalidad_M!$B$3:$BX$93,MATCH(B26,Mortalidad_M!$A$3:$A$93,0),MATCH(MIN(C26,2100),Mortalidad_M!$B$2:$BX$2,0))),1)</f>
        <v/>
      </c>
      <c r="E26" s="15">
        <f>1-(1-D26)^(1/12)</f>
        <v/>
      </c>
      <c r="F26" s="16">
        <f>F25*(1-E25)</f>
        <v/>
      </c>
      <c r="G26" s="16">
        <f>1/(1+$C$7)^(A26/12)</f>
        <v/>
      </c>
      <c r="H26" s="16">
        <f>F26*G26</f>
        <v/>
      </c>
    </row>
    <row r="27">
      <c r="A27" s="14" t="n">
        <v>15</v>
      </c>
      <c r="B27">
        <f>$C$5+INT(A27/12)</f>
        <v/>
      </c>
      <c r="C27">
        <f>Parametros!$B$5+INT(A27/12)</f>
        <v/>
      </c>
      <c r="D27" s="15">
        <f>IFERROR(IF($C$4="H",INDEX(Mortalidad_H!$B$3:$BX$113,MATCH(B27,Mortalidad_H!$A$3:$A$113,0),MATCH(MIN(C27,2100),Mortalidad_H!$B$2:$BX$2,0)),INDEX(Mortalidad_M!$B$3:$BX$93,MATCH(B27,Mortalidad_M!$A$3:$A$93,0),MATCH(MIN(C27,2100),Mortalidad_M!$B$2:$BX$2,0))),1)</f>
        <v/>
      </c>
      <c r="E27" s="15">
        <f>1-(1-D27)^(1/12)</f>
        <v/>
      </c>
      <c r="F27" s="16">
        <f>F26*(1-E26)</f>
        <v/>
      </c>
      <c r="G27" s="16">
        <f>1/(1+$C$7)^(A27/12)</f>
        <v/>
      </c>
      <c r="H27" s="16">
        <f>F27*G27</f>
        <v/>
      </c>
    </row>
    <row r="28">
      <c r="A28" s="14" t="n">
        <v>16</v>
      </c>
      <c r="B28">
        <f>$C$5+INT(A28/12)</f>
        <v/>
      </c>
      <c r="C28">
        <f>Parametros!$B$5+INT(A28/12)</f>
        <v/>
      </c>
      <c r="D28" s="15">
        <f>IFERROR(IF($C$4="H",INDEX(Mortalidad_H!$B$3:$BX$113,MATCH(B28,Mortalidad_H!$A$3:$A$113,0),MATCH(MIN(C28,2100),Mortalidad_H!$B$2:$BX$2,0)),INDEX(Mortalidad_M!$B$3:$BX$93,MATCH(B28,Mortalidad_M!$A$3:$A$93,0),MATCH(MIN(C28,2100),Mortalidad_M!$B$2:$BX$2,0))),1)</f>
        <v/>
      </c>
      <c r="E28" s="15">
        <f>1-(1-D28)^(1/12)</f>
        <v/>
      </c>
      <c r="F28" s="16">
        <f>F27*(1-E27)</f>
        <v/>
      </c>
      <c r="G28" s="16">
        <f>1/(1+$C$7)^(A28/12)</f>
        <v/>
      </c>
      <c r="H28" s="16">
        <f>F28*G28</f>
        <v/>
      </c>
    </row>
    <row r="29">
      <c r="A29" s="14" t="n">
        <v>17</v>
      </c>
      <c r="B29">
        <f>$C$5+INT(A29/12)</f>
        <v/>
      </c>
      <c r="C29">
        <f>Parametros!$B$5+INT(A29/12)</f>
        <v/>
      </c>
      <c r="D29" s="15">
        <f>IFERROR(IF($C$4="H",INDEX(Mortalidad_H!$B$3:$BX$113,MATCH(B29,Mortalidad_H!$A$3:$A$113,0),MATCH(MIN(C29,2100),Mortalidad_H!$B$2:$BX$2,0)),INDEX(Mortalidad_M!$B$3:$BX$93,MATCH(B29,Mortalidad_M!$A$3:$A$93,0),MATCH(MIN(C29,2100),Mortalidad_M!$B$2:$BX$2,0))),1)</f>
        <v/>
      </c>
      <c r="E29" s="15">
        <f>1-(1-D29)^(1/12)</f>
        <v/>
      </c>
      <c r="F29" s="16">
        <f>F28*(1-E28)</f>
        <v/>
      </c>
      <c r="G29" s="16">
        <f>1/(1+$C$7)^(A29/12)</f>
        <v/>
      </c>
      <c r="H29" s="16">
        <f>F29*G29</f>
        <v/>
      </c>
    </row>
    <row r="30">
      <c r="A30" s="14" t="n">
        <v>18</v>
      </c>
      <c r="B30">
        <f>$C$5+INT(A30/12)</f>
        <v/>
      </c>
      <c r="C30">
        <f>Parametros!$B$5+INT(A30/12)</f>
        <v/>
      </c>
      <c r="D30" s="15">
        <f>IFERROR(IF($C$4="H",INDEX(Mortalidad_H!$B$3:$BX$113,MATCH(B30,Mortalidad_H!$A$3:$A$113,0),MATCH(MIN(C30,2100),Mortalidad_H!$B$2:$BX$2,0)),INDEX(Mortalidad_M!$B$3:$BX$93,MATCH(B30,Mortalidad_M!$A$3:$A$93,0),MATCH(MIN(C30,2100),Mortalidad_M!$B$2:$BX$2,0))),1)</f>
        <v/>
      </c>
      <c r="E30" s="15">
        <f>1-(1-D30)^(1/12)</f>
        <v/>
      </c>
      <c r="F30" s="16">
        <f>F29*(1-E29)</f>
        <v/>
      </c>
      <c r="G30" s="16">
        <f>1/(1+$C$7)^(A30/12)</f>
        <v/>
      </c>
      <c r="H30" s="16">
        <f>F30*G30</f>
        <v/>
      </c>
    </row>
    <row r="31">
      <c r="A31" s="14" t="n">
        <v>19</v>
      </c>
      <c r="B31">
        <f>$C$5+INT(A31/12)</f>
        <v/>
      </c>
      <c r="C31">
        <f>Parametros!$B$5+INT(A31/12)</f>
        <v/>
      </c>
      <c r="D31" s="15">
        <f>IFERROR(IF($C$4="H",INDEX(Mortalidad_H!$B$3:$BX$113,MATCH(B31,Mortalidad_H!$A$3:$A$113,0),MATCH(MIN(C31,2100),Mortalidad_H!$B$2:$BX$2,0)),INDEX(Mortalidad_M!$B$3:$BX$93,MATCH(B31,Mortalidad_M!$A$3:$A$93,0),MATCH(MIN(C31,2100),Mortalidad_M!$B$2:$BX$2,0))),1)</f>
        <v/>
      </c>
      <c r="E31" s="15">
        <f>1-(1-D31)^(1/12)</f>
        <v/>
      </c>
      <c r="F31" s="16">
        <f>F30*(1-E30)</f>
        <v/>
      </c>
      <c r="G31" s="16">
        <f>1/(1+$C$7)^(A31/12)</f>
        <v/>
      </c>
      <c r="H31" s="16">
        <f>F31*G31</f>
        <v/>
      </c>
    </row>
    <row r="32">
      <c r="A32" s="14" t="n">
        <v>20</v>
      </c>
      <c r="B32">
        <f>$C$5+INT(A32/12)</f>
        <v/>
      </c>
      <c r="C32">
        <f>Parametros!$B$5+INT(A32/12)</f>
        <v/>
      </c>
      <c r="D32" s="15">
        <f>IFERROR(IF($C$4="H",INDEX(Mortalidad_H!$B$3:$BX$113,MATCH(B32,Mortalidad_H!$A$3:$A$113,0),MATCH(MIN(C32,2100),Mortalidad_H!$B$2:$BX$2,0)),INDEX(Mortalidad_M!$B$3:$BX$93,MATCH(B32,Mortalidad_M!$A$3:$A$93,0),MATCH(MIN(C32,2100),Mortalidad_M!$B$2:$BX$2,0))),1)</f>
        <v/>
      </c>
      <c r="E32" s="15">
        <f>1-(1-D32)^(1/12)</f>
        <v/>
      </c>
      <c r="F32" s="16">
        <f>F31*(1-E31)</f>
        <v/>
      </c>
      <c r="G32" s="16">
        <f>1/(1+$C$7)^(A32/12)</f>
        <v/>
      </c>
      <c r="H32" s="16">
        <f>F32*G32</f>
        <v/>
      </c>
    </row>
    <row r="33">
      <c r="A33" s="14" t="n">
        <v>21</v>
      </c>
      <c r="B33">
        <f>$C$5+INT(A33/12)</f>
        <v/>
      </c>
      <c r="C33">
        <f>Parametros!$B$5+INT(A33/12)</f>
        <v/>
      </c>
      <c r="D33" s="15">
        <f>IFERROR(IF($C$4="H",INDEX(Mortalidad_H!$B$3:$BX$113,MATCH(B33,Mortalidad_H!$A$3:$A$113,0),MATCH(MIN(C33,2100),Mortalidad_H!$B$2:$BX$2,0)),INDEX(Mortalidad_M!$B$3:$BX$93,MATCH(B33,Mortalidad_M!$A$3:$A$93,0),MATCH(MIN(C33,2100),Mortalidad_M!$B$2:$BX$2,0))),1)</f>
        <v/>
      </c>
      <c r="E33" s="15">
        <f>1-(1-D33)^(1/12)</f>
        <v/>
      </c>
      <c r="F33" s="16">
        <f>F32*(1-E32)</f>
        <v/>
      </c>
      <c r="G33" s="16">
        <f>1/(1+$C$7)^(A33/12)</f>
        <v/>
      </c>
      <c r="H33" s="16">
        <f>F33*G33</f>
        <v/>
      </c>
    </row>
    <row r="34">
      <c r="A34" s="14" t="n">
        <v>22</v>
      </c>
      <c r="B34">
        <f>$C$5+INT(A34/12)</f>
        <v/>
      </c>
      <c r="C34">
        <f>Parametros!$B$5+INT(A34/12)</f>
        <v/>
      </c>
      <c r="D34" s="15">
        <f>IFERROR(IF($C$4="H",INDEX(Mortalidad_H!$B$3:$BX$113,MATCH(B34,Mortalidad_H!$A$3:$A$113,0),MATCH(MIN(C34,2100),Mortalidad_H!$B$2:$BX$2,0)),INDEX(Mortalidad_M!$B$3:$BX$93,MATCH(B34,Mortalidad_M!$A$3:$A$93,0),MATCH(MIN(C34,2100),Mortalidad_M!$B$2:$BX$2,0))),1)</f>
        <v/>
      </c>
      <c r="E34" s="15">
        <f>1-(1-D34)^(1/12)</f>
        <v/>
      </c>
      <c r="F34" s="16">
        <f>F33*(1-E33)</f>
        <v/>
      </c>
      <c r="G34" s="16">
        <f>1/(1+$C$7)^(A34/12)</f>
        <v/>
      </c>
      <c r="H34" s="16">
        <f>F34*G34</f>
        <v/>
      </c>
    </row>
    <row r="35">
      <c r="A35" s="14" t="n">
        <v>23</v>
      </c>
      <c r="B35">
        <f>$C$5+INT(A35/12)</f>
        <v/>
      </c>
      <c r="C35">
        <f>Parametros!$B$5+INT(A35/12)</f>
        <v/>
      </c>
      <c r="D35" s="15">
        <f>IFERROR(IF($C$4="H",INDEX(Mortalidad_H!$B$3:$BX$113,MATCH(B35,Mortalidad_H!$A$3:$A$113,0),MATCH(MIN(C35,2100),Mortalidad_H!$B$2:$BX$2,0)),INDEX(Mortalidad_M!$B$3:$BX$93,MATCH(B35,Mortalidad_M!$A$3:$A$93,0),MATCH(MIN(C35,2100),Mortalidad_M!$B$2:$BX$2,0))),1)</f>
        <v/>
      </c>
      <c r="E35" s="15">
        <f>1-(1-D35)^(1/12)</f>
        <v/>
      </c>
      <c r="F35" s="16">
        <f>F34*(1-E34)</f>
        <v/>
      </c>
      <c r="G35" s="16">
        <f>1/(1+$C$7)^(A35/12)</f>
        <v/>
      </c>
      <c r="H35" s="16">
        <f>F35*G35</f>
        <v/>
      </c>
    </row>
    <row r="36">
      <c r="A36" s="14" t="n">
        <v>24</v>
      </c>
      <c r="B36">
        <f>$C$5+INT(A36/12)</f>
        <v/>
      </c>
      <c r="C36">
        <f>Parametros!$B$5+INT(A36/12)</f>
        <v/>
      </c>
      <c r="D36" s="15">
        <f>IFERROR(IF($C$4="H",INDEX(Mortalidad_H!$B$3:$BX$113,MATCH(B36,Mortalidad_H!$A$3:$A$113,0),MATCH(MIN(C36,2100),Mortalidad_H!$B$2:$BX$2,0)),INDEX(Mortalidad_M!$B$3:$BX$93,MATCH(B36,Mortalidad_M!$A$3:$A$93,0),MATCH(MIN(C36,2100),Mortalidad_M!$B$2:$BX$2,0))),1)</f>
        <v/>
      </c>
      <c r="E36" s="15">
        <f>1-(1-D36)^(1/12)</f>
        <v/>
      </c>
      <c r="F36" s="16">
        <f>F35*(1-E35)</f>
        <v/>
      </c>
      <c r="G36" s="16">
        <f>1/(1+$C$7)^(A36/12)</f>
        <v/>
      </c>
      <c r="H36" s="16">
        <f>F36*G36</f>
        <v/>
      </c>
    </row>
    <row r="37">
      <c r="A37" s="14" t="n">
        <v>25</v>
      </c>
      <c r="B37">
        <f>$C$5+INT(A37/12)</f>
        <v/>
      </c>
      <c r="C37">
        <f>Parametros!$B$5+INT(A37/12)</f>
        <v/>
      </c>
      <c r="D37" s="15">
        <f>IFERROR(IF($C$4="H",INDEX(Mortalidad_H!$B$3:$BX$113,MATCH(B37,Mortalidad_H!$A$3:$A$113,0),MATCH(MIN(C37,2100),Mortalidad_H!$B$2:$BX$2,0)),INDEX(Mortalidad_M!$B$3:$BX$93,MATCH(B37,Mortalidad_M!$A$3:$A$93,0),MATCH(MIN(C37,2100),Mortalidad_M!$B$2:$BX$2,0))),1)</f>
        <v/>
      </c>
      <c r="E37" s="15">
        <f>1-(1-D37)^(1/12)</f>
        <v/>
      </c>
      <c r="F37" s="16">
        <f>F36*(1-E36)</f>
        <v/>
      </c>
      <c r="G37" s="16">
        <f>1/(1+$C$7)^(A37/12)</f>
        <v/>
      </c>
      <c r="H37" s="16">
        <f>F37*G37</f>
        <v/>
      </c>
    </row>
    <row r="38">
      <c r="A38" s="14" t="n">
        <v>26</v>
      </c>
      <c r="B38">
        <f>$C$5+INT(A38/12)</f>
        <v/>
      </c>
      <c r="C38">
        <f>Parametros!$B$5+INT(A38/12)</f>
        <v/>
      </c>
      <c r="D38" s="15">
        <f>IFERROR(IF($C$4="H",INDEX(Mortalidad_H!$B$3:$BX$113,MATCH(B38,Mortalidad_H!$A$3:$A$113,0),MATCH(MIN(C38,2100),Mortalidad_H!$B$2:$BX$2,0)),INDEX(Mortalidad_M!$B$3:$BX$93,MATCH(B38,Mortalidad_M!$A$3:$A$93,0),MATCH(MIN(C38,2100),Mortalidad_M!$B$2:$BX$2,0))),1)</f>
        <v/>
      </c>
      <c r="E38" s="15">
        <f>1-(1-D38)^(1/12)</f>
        <v/>
      </c>
      <c r="F38" s="16">
        <f>F37*(1-E37)</f>
        <v/>
      </c>
      <c r="G38" s="16">
        <f>1/(1+$C$7)^(A38/12)</f>
        <v/>
      </c>
      <c r="H38" s="16">
        <f>F38*G38</f>
        <v/>
      </c>
    </row>
    <row r="39">
      <c r="A39" s="14" t="n">
        <v>27</v>
      </c>
      <c r="B39">
        <f>$C$5+INT(A39/12)</f>
        <v/>
      </c>
      <c r="C39">
        <f>Parametros!$B$5+INT(A39/12)</f>
        <v/>
      </c>
      <c r="D39" s="15">
        <f>IFERROR(IF($C$4="H",INDEX(Mortalidad_H!$B$3:$BX$113,MATCH(B39,Mortalidad_H!$A$3:$A$113,0),MATCH(MIN(C39,2100),Mortalidad_H!$B$2:$BX$2,0)),INDEX(Mortalidad_M!$B$3:$BX$93,MATCH(B39,Mortalidad_M!$A$3:$A$93,0),MATCH(MIN(C39,2100),Mortalidad_M!$B$2:$BX$2,0))),1)</f>
        <v/>
      </c>
      <c r="E39" s="15">
        <f>1-(1-D39)^(1/12)</f>
        <v/>
      </c>
      <c r="F39" s="16">
        <f>F38*(1-E38)</f>
        <v/>
      </c>
      <c r="G39" s="16">
        <f>1/(1+$C$7)^(A39/12)</f>
        <v/>
      </c>
      <c r="H39" s="16">
        <f>F39*G39</f>
        <v/>
      </c>
    </row>
    <row r="40">
      <c r="A40" s="14" t="n">
        <v>28</v>
      </c>
      <c r="B40">
        <f>$C$5+INT(A40/12)</f>
        <v/>
      </c>
      <c r="C40">
        <f>Parametros!$B$5+INT(A40/12)</f>
        <v/>
      </c>
      <c r="D40" s="15">
        <f>IFERROR(IF($C$4="H",INDEX(Mortalidad_H!$B$3:$BX$113,MATCH(B40,Mortalidad_H!$A$3:$A$113,0),MATCH(MIN(C40,2100),Mortalidad_H!$B$2:$BX$2,0)),INDEX(Mortalidad_M!$B$3:$BX$93,MATCH(B40,Mortalidad_M!$A$3:$A$93,0),MATCH(MIN(C40,2100),Mortalidad_M!$B$2:$BX$2,0))),1)</f>
        <v/>
      </c>
      <c r="E40" s="15">
        <f>1-(1-D40)^(1/12)</f>
        <v/>
      </c>
      <c r="F40" s="16">
        <f>F39*(1-E39)</f>
        <v/>
      </c>
      <c r="G40" s="16">
        <f>1/(1+$C$7)^(A40/12)</f>
        <v/>
      </c>
      <c r="H40" s="16">
        <f>F40*G40</f>
        <v/>
      </c>
    </row>
    <row r="41">
      <c r="A41" s="14" t="n">
        <v>29</v>
      </c>
      <c r="B41">
        <f>$C$5+INT(A41/12)</f>
        <v/>
      </c>
      <c r="C41">
        <f>Parametros!$B$5+INT(A41/12)</f>
        <v/>
      </c>
      <c r="D41" s="15">
        <f>IFERROR(IF($C$4="H",INDEX(Mortalidad_H!$B$3:$BX$113,MATCH(B41,Mortalidad_H!$A$3:$A$113,0),MATCH(MIN(C41,2100),Mortalidad_H!$B$2:$BX$2,0)),INDEX(Mortalidad_M!$B$3:$BX$93,MATCH(B41,Mortalidad_M!$A$3:$A$93,0),MATCH(MIN(C41,2100),Mortalidad_M!$B$2:$BX$2,0))),1)</f>
        <v/>
      </c>
      <c r="E41" s="15">
        <f>1-(1-D41)^(1/12)</f>
        <v/>
      </c>
      <c r="F41" s="16">
        <f>F40*(1-E40)</f>
        <v/>
      </c>
      <c r="G41" s="16">
        <f>1/(1+$C$7)^(A41/12)</f>
        <v/>
      </c>
      <c r="H41" s="16">
        <f>F41*G41</f>
        <v/>
      </c>
    </row>
    <row r="42">
      <c r="A42" s="14" t="n">
        <v>30</v>
      </c>
      <c r="B42">
        <f>$C$5+INT(A42/12)</f>
        <v/>
      </c>
      <c r="C42">
        <f>Parametros!$B$5+INT(A42/12)</f>
        <v/>
      </c>
      <c r="D42" s="15">
        <f>IFERROR(IF($C$4="H",INDEX(Mortalidad_H!$B$3:$BX$113,MATCH(B42,Mortalidad_H!$A$3:$A$113,0),MATCH(MIN(C42,2100),Mortalidad_H!$B$2:$BX$2,0)),INDEX(Mortalidad_M!$B$3:$BX$93,MATCH(B42,Mortalidad_M!$A$3:$A$93,0),MATCH(MIN(C42,2100),Mortalidad_M!$B$2:$BX$2,0))),1)</f>
        <v/>
      </c>
      <c r="E42" s="15">
        <f>1-(1-D42)^(1/12)</f>
        <v/>
      </c>
      <c r="F42" s="16">
        <f>F41*(1-E41)</f>
        <v/>
      </c>
      <c r="G42" s="16">
        <f>1/(1+$C$7)^(A42/12)</f>
        <v/>
      </c>
      <c r="H42" s="16">
        <f>F42*G42</f>
        <v/>
      </c>
    </row>
    <row r="43">
      <c r="A43" s="14" t="n">
        <v>31</v>
      </c>
      <c r="B43">
        <f>$C$5+INT(A43/12)</f>
        <v/>
      </c>
      <c r="C43">
        <f>Parametros!$B$5+INT(A43/12)</f>
        <v/>
      </c>
      <c r="D43" s="15">
        <f>IFERROR(IF($C$4="H",INDEX(Mortalidad_H!$B$3:$BX$113,MATCH(B43,Mortalidad_H!$A$3:$A$113,0),MATCH(MIN(C43,2100),Mortalidad_H!$B$2:$BX$2,0)),INDEX(Mortalidad_M!$B$3:$BX$93,MATCH(B43,Mortalidad_M!$A$3:$A$93,0),MATCH(MIN(C43,2100),Mortalidad_M!$B$2:$BX$2,0))),1)</f>
        <v/>
      </c>
      <c r="E43" s="15">
        <f>1-(1-D43)^(1/12)</f>
        <v/>
      </c>
      <c r="F43" s="16">
        <f>F42*(1-E42)</f>
        <v/>
      </c>
      <c r="G43" s="16">
        <f>1/(1+$C$7)^(A43/12)</f>
        <v/>
      </c>
      <c r="H43" s="16">
        <f>F43*G43</f>
        <v/>
      </c>
    </row>
    <row r="44">
      <c r="A44" s="14" t="n">
        <v>32</v>
      </c>
      <c r="B44">
        <f>$C$5+INT(A44/12)</f>
        <v/>
      </c>
      <c r="C44">
        <f>Parametros!$B$5+INT(A44/12)</f>
        <v/>
      </c>
      <c r="D44" s="15">
        <f>IFERROR(IF($C$4="H",INDEX(Mortalidad_H!$B$3:$BX$113,MATCH(B44,Mortalidad_H!$A$3:$A$113,0),MATCH(MIN(C44,2100),Mortalidad_H!$B$2:$BX$2,0)),INDEX(Mortalidad_M!$B$3:$BX$93,MATCH(B44,Mortalidad_M!$A$3:$A$93,0),MATCH(MIN(C44,2100),Mortalidad_M!$B$2:$BX$2,0))),1)</f>
        <v/>
      </c>
      <c r="E44" s="15">
        <f>1-(1-D44)^(1/12)</f>
        <v/>
      </c>
      <c r="F44" s="16">
        <f>F43*(1-E43)</f>
        <v/>
      </c>
      <c r="G44" s="16">
        <f>1/(1+$C$7)^(A44/12)</f>
        <v/>
      </c>
      <c r="H44" s="16">
        <f>F44*G44</f>
        <v/>
      </c>
    </row>
    <row r="45">
      <c r="A45" s="14" t="n">
        <v>33</v>
      </c>
      <c r="B45">
        <f>$C$5+INT(A45/12)</f>
        <v/>
      </c>
      <c r="C45">
        <f>Parametros!$B$5+INT(A45/12)</f>
        <v/>
      </c>
      <c r="D45" s="15">
        <f>IFERROR(IF($C$4="H",INDEX(Mortalidad_H!$B$3:$BX$113,MATCH(B45,Mortalidad_H!$A$3:$A$113,0),MATCH(MIN(C45,2100),Mortalidad_H!$B$2:$BX$2,0)),INDEX(Mortalidad_M!$B$3:$BX$93,MATCH(B45,Mortalidad_M!$A$3:$A$93,0),MATCH(MIN(C45,2100),Mortalidad_M!$B$2:$BX$2,0))),1)</f>
        <v/>
      </c>
      <c r="E45" s="15">
        <f>1-(1-D45)^(1/12)</f>
        <v/>
      </c>
      <c r="F45" s="16">
        <f>F44*(1-E44)</f>
        <v/>
      </c>
      <c r="G45" s="16">
        <f>1/(1+$C$7)^(A45/12)</f>
        <v/>
      </c>
      <c r="H45" s="16">
        <f>F45*G45</f>
        <v/>
      </c>
    </row>
    <row r="46">
      <c r="A46" s="14" t="n">
        <v>34</v>
      </c>
      <c r="B46">
        <f>$C$5+INT(A46/12)</f>
        <v/>
      </c>
      <c r="C46">
        <f>Parametros!$B$5+INT(A46/12)</f>
        <v/>
      </c>
      <c r="D46" s="15">
        <f>IFERROR(IF($C$4="H",INDEX(Mortalidad_H!$B$3:$BX$113,MATCH(B46,Mortalidad_H!$A$3:$A$113,0),MATCH(MIN(C46,2100),Mortalidad_H!$B$2:$BX$2,0)),INDEX(Mortalidad_M!$B$3:$BX$93,MATCH(B46,Mortalidad_M!$A$3:$A$93,0),MATCH(MIN(C46,2100),Mortalidad_M!$B$2:$BX$2,0))),1)</f>
        <v/>
      </c>
      <c r="E46" s="15">
        <f>1-(1-D46)^(1/12)</f>
        <v/>
      </c>
      <c r="F46" s="16">
        <f>F45*(1-E45)</f>
        <v/>
      </c>
      <c r="G46" s="16">
        <f>1/(1+$C$7)^(A46/12)</f>
        <v/>
      </c>
      <c r="H46" s="16">
        <f>F46*G46</f>
        <v/>
      </c>
    </row>
    <row r="47">
      <c r="A47" s="14" t="n">
        <v>35</v>
      </c>
      <c r="B47">
        <f>$C$5+INT(A47/12)</f>
        <v/>
      </c>
      <c r="C47">
        <f>Parametros!$B$5+INT(A47/12)</f>
        <v/>
      </c>
      <c r="D47" s="15">
        <f>IFERROR(IF($C$4="H",INDEX(Mortalidad_H!$B$3:$BX$113,MATCH(B47,Mortalidad_H!$A$3:$A$113,0),MATCH(MIN(C47,2100),Mortalidad_H!$B$2:$BX$2,0)),INDEX(Mortalidad_M!$B$3:$BX$93,MATCH(B47,Mortalidad_M!$A$3:$A$93,0),MATCH(MIN(C47,2100),Mortalidad_M!$B$2:$BX$2,0))),1)</f>
        <v/>
      </c>
      <c r="E47" s="15">
        <f>1-(1-D47)^(1/12)</f>
        <v/>
      </c>
      <c r="F47" s="16">
        <f>F46*(1-E46)</f>
        <v/>
      </c>
      <c r="G47" s="16">
        <f>1/(1+$C$7)^(A47/12)</f>
        <v/>
      </c>
      <c r="H47" s="16">
        <f>F47*G47</f>
        <v/>
      </c>
    </row>
    <row r="48">
      <c r="A48" s="14" t="n">
        <v>36</v>
      </c>
      <c r="B48">
        <f>$C$5+INT(A48/12)</f>
        <v/>
      </c>
      <c r="C48">
        <f>Parametros!$B$5+INT(A48/12)</f>
        <v/>
      </c>
      <c r="D48" s="15">
        <f>IFERROR(IF($C$4="H",INDEX(Mortalidad_H!$B$3:$BX$113,MATCH(B48,Mortalidad_H!$A$3:$A$113,0),MATCH(MIN(C48,2100),Mortalidad_H!$B$2:$BX$2,0)),INDEX(Mortalidad_M!$B$3:$BX$93,MATCH(B48,Mortalidad_M!$A$3:$A$93,0),MATCH(MIN(C48,2100),Mortalidad_M!$B$2:$BX$2,0))),1)</f>
        <v/>
      </c>
      <c r="E48" s="15">
        <f>1-(1-D48)^(1/12)</f>
        <v/>
      </c>
      <c r="F48" s="16">
        <f>F47*(1-E47)</f>
        <v/>
      </c>
      <c r="G48" s="16">
        <f>1/(1+$C$7)^(A48/12)</f>
        <v/>
      </c>
      <c r="H48" s="16">
        <f>F48*G48</f>
        <v/>
      </c>
    </row>
    <row r="49">
      <c r="A49" s="14" t="n">
        <v>37</v>
      </c>
      <c r="B49">
        <f>$C$5+INT(A49/12)</f>
        <v/>
      </c>
      <c r="C49">
        <f>Parametros!$B$5+INT(A49/12)</f>
        <v/>
      </c>
      <c r="D49" s="15">
        <f>IFERROR(IF($C$4="H",INDEX(Mortalidad_H!$B$3:$BX$113,MATCH(B49,Mortalidad_H!$A$3:$A$113,0),MATCH(MIN(C49,2100),Mortalidad_H!$B$2:$BX$2,0)),INDEX(Mortalidad_M!$B$3:$BX$93,MATCH(B49,Mortalidad_M!$A$3:$A$93,0),MATCH(MIN(C49,2100),Mortalidad_M!$B$2:$BX$2,0))),1)</f>
        <v/>
      </c>
      <c r="E49" s="15">
        <f>1-(1-D49)^(1/12)</f>
        <v/>
      </c>
      <c r="F49" s="16">
        <f>F48*(1-E48)</f>
        <v/>
      </c>
      <c r="G49" s="16">
        <f>1/(1+$C$7)^(A49/12)</f>
        <v/>
      </c>
      <c r="H49" s="16">
        <f>F49*G49</f>
        <v/>
      </c>
    </row>
    <row r="50">
      <c r="A50" s="14" t="n">
        <v>38</v>
      </c>
      <c r="B50">
        <f>$C$5+INT(A50/12)</f>
        <v/>
      </c>
      <c r="C50">
        <f>Parametros!$B$5+INT(A50/12)</f>
        <v/>
      </c>
      <c r="D50" s="15">
        <f>IFERROR(IF($C$4="H",INDEX(Mortalidad_H!$B$3:$BX$113,MATCH(B50,Mortalidad_H!$A$3:$A$113,0),MATCH(MIN(C50,2100),Mortalidad_H!$B$2:$BX$2,0)),INDEX(Mortalidad_M!$B$3:$BX$93,MATCH(B50,Mortalidad_M!$A$3:$A$93,0),MATCH(MIN(C50,2100),Mortalidad_M!$B$2:$BX$2,0))),1)</f>
        <v/>
      </c>
      <c r="E50" s="15">
        <f>1-(1-D50)^(1/12)</f>
        <v/>
      </c>
      <c r="F50" s="16">
        <f>F49*(1-E49)</f>
        <v/>
      </c>
      <c r="G50" s="16">
        <f>1/(1+$C$7)^(A50/12)</f>
        <v/>
      </c>
      <c r="H50" s="16">
        <f>F50*G50</f>
        <v/>
      </c>
    </row>
    <row r="51">
      <c r="A51" s="14" t="n">
        <v>39</v>
      </c>
      <c r="B51">
        <f>$C$5+INT(A51/12)</f>
        <v/>
      </c>
      <c r="C51">
        <f>Parametros!$B$5+INT(A51/12)</f>
        <v/>
      </c>
      <c r="D51" s="15">
        <f>IFERROR(IF($C$4="H",INDEX(Mortalidad_H!$B$3:$BX$113,MATCH(B51,Mortalidad_H!$A$3:$A$113,0),MATCH(MIN(C51,2100),Mortalidad_H!$B$2:$BX$2,0)),INDEX(Mortalidad_M!$B$3:$BX$93,MATCH(B51,Mortalidad_M!$A$3:$A$93,0),MATCH(MIN(C51,2100),Mortalidad_M!$B$2:$BX$2,0))),1)</f>
        <v/>
      </c>
      <c r="E51" s="15">
        <f>1-(1-D51)^(1/12)</f>
        <v/>
      </c>
      <c r="F51" s="16">
        <f>F50*(1-E50)</f>
        <v/>
      </c>
      <c r="G51" s="16">
        <f>1/(1+$C$7)^(A51/12)</f>
        <v/>
      </c>
      <c r="H51" s="16">
        <f>F51*G51</f>
        <v/>
      </c>
    </row>
    <row r="52">
      <c r="A52" s="14" t="n">
        <v>40</v>
      </c>
      <c r="B52">
        <f>$C$5+INT(A52/12)</f>
        <v/>
      </c>
      <c r="C52">
        <f>Parametros!$B$5+INT(A52/12)</f>
        <v/>
      </c>
      <c r="D52" s="15">
        <f>IFERROR(IF($C$4="H",INDEX(Mortalidad_H!$B$3:$BX$113,MATCH(B52,Mortalidad_H!$A$3:$A$113,0),MATCH(MIN(C52,2100),Mortalidad_H!$B$2:$BX$2,0)),INDEX(Mortalidad_M!$B$3:$BX$93,MATCH(B52,Mortalidad_M!$A$3:$A$93,0),MATCH(MIN(C52,2100),Mortalidad_M!$B$2:$BX$2,0))),1)</f>
        <v/>
      </c>
      <c r="E52" s="15">
        <f>1-(1-D52)^(1/12)</f>
        <v/>
      </c>
      <c r="F52" s="16">
        <f>F51*(1-E51)</f>
        <v/>
      </c>
      <c r="G52" s="16">
        <f>1/(1+$C$7)^(A52/12)</f>
        <v/>
      </c>
      <c r="H52" s="16">
        <f>F52*G52</f>
        <v/>
      </c>
    </row>
    <row r="53">
      <c r="A53" s="14" t="n">
        <v>41</v>
      </c>
      <c r="B53">
        <f>$C$5+INT(A53/12)</f>
        <v/>
      </c>
      <c r="C53">
        <f>Parametros!$B$5+INT(A53/12)</f>
        <v/>
      </c>
      <c r="D53" s="15">
        <f>IFERROR(IF($C$4="H",INDEX(Mortalidad_H!$B$3:$BX$113,MATCH(B53,Mortalidad_H!$A$3:$A$113,0),MATCH(MIN(C53,2100),Mortalidad_H!$B$2:$BX$2,0)),INDEX(Mortalidad_M!$B$3:$BX$93,MATCH(B53,Mortalidad_M!$A$3:$A$93,0),MATCH(MIN(C53,2100),Mortalidad_M!$B$2:$BX$2,0))),1)</f>
        <v/>
      </c>
      <c r="E53" s="15">
        <f>1-(1-D53)^(1/12)</f>
        <v/>
      </c>
      <c r="F53" s="16">
        <f>F52*(1-E52)</f>
        <v/>
      </c>
      <c r="G53" s="16">
        <f>1/(1+$C$7)^(A53/12)</f>
        <v/>
      </c>
      <c r="H53" s="16">
        <f>F53*G53</f>
        <v/>
      </c>
    </row>
    <row r="54">
      <c r="A54" s="14" t="n">
        <v>42</v>
      </c>
      <c r="B54">
        <f>$C$5+INT(A54/12)</f>
        <v/>
      </c>
      <c r="C54">
        <f>Parametros!$B$5+INT(A54/12)</f>
        <v/>
      </c>
      <c r="D54" s="15">
        <f>IFERROR(IF($C$4="H",INDEX(Mortalidad_H!$B$3:$BX$113,MATCH(B54,Mortalidad_H!$A$3:$A$113,0),MATCH(MIN(C54,2100),Mortalidad_H!$B$2:$BX$2,0)),INDEX(Mortalidad_M!$B$3:$BX$93,MATCH(B54,Mortalidad_M!$A$3:$A$93,0),MATCH(MIN(C54,2100),Mortalidad_M!$B$2:$BX$2,0))),1)</f>
        <v/>
      </c>
      <c r="E54" s="15">
        <f>1-(1-D54)^(1/12)</f>
        <v/>
      </c>
      <c r="F54" s="16">
        <f>F53*(1-E53)</f>
        <v/>
      </c>
      <c r="G54" s="16">
        <f>1/(1+$C$7)^(A54/12)</f>
        <v/>
      </c>
      <c r="H54" s="16">
        <f>F54*G54</f>
        <v/>
      </c>
    </row>
    <row r="55">
      <c r="A55" s="14" t="n">
        <v>43</v>
      </c>
      <c r="B55">
        <f>$C$5+INT(A55/12)</f>
        <v/>
      </c>
      <c r="C55">
        <f>Parametros!$B$5+INT(A55/12)</f>
        <v/>
      </c>
      <c r="D55" s="15">
        <f>IFERROR(IF($C$4="H",INDEX(Mortalidad_H!$B$3:$BX$113,MATCH(B55,Mortalidad_H!$A$3:$A$113,0),MATCH(MIN(C55,2100),Mortalidad_H!$B$2:$BX$2,0)),INDEX(Mortalidad_M!$B$3:$BX$93,MATCH(B55,Mortalidad_M!$A$3:$A$93,0),MATCH(MIN(C55,2100),Mortalidad_M!$B$2:$BX$2,0))),1)</f>
        <v/>
      </c>
      <c r="E55" s="15">
        <f>1-(1-D55)^(1/12)</f>
        <v/>
      </c>
      <c r="F55" s="16">
        <f>F54*(1-E54)</f>
        <v/>
      </c>
      <c r="G55" s="16">
        <f>1/(1+$C$7)^(A55/12)</f>
        <v/>
      </c>
      <c r="H55" s="16">
        <f>F55*G55</f>
        <v/>
      </c>
    </row>
    <row r="56">
      <c r="A56" s="14" t="n">
        <v>44</v>
      </c>
      <c r="B56">
        <f>$C$5+INT(A56/12)</f>
        <v/>
      </c>
      <c r="C56">
        <f>Parametros!$B$5+INT(A56/12)</f>
        <v/>
      </c>
      <c r="D56" s="15">
        <f>IFERROR(IF($C$4="H",INDEX(Mortalidad_H!$B$3:$BX$113,MATCH(B56,Mortalidad_H!$A$3:$A$113,0),MATCH(MIN(C56,2100),Mortalidad_H!$B$2:$BX$2,0)),INDEX(Mortalidad_M!$B$3:$BX$93,MATCH(B56,Mortalidad_M!$A$3:$A$93,0),MATCH(MIN(C56,2100),Mortalidad_M!$B$2:$BX$2,0))),1)</f>
        <v/>
      </c>
      <c r="E56" s="15">
        <f>1-(1-D56)^(1/12)</f>
        <v/>
      </c>
      <c r="F56" s="16">
        <f>F55*(1-E55)</f>
        <v/>
      </c>
      <c r="G56" s="16">
        <f>1/(1+$C$7)^(A56/12)</f>
        <v/>
      </c>
      <c r="H56" s="16">
        <f>F56*G56</f>
        <v/>
      </c>
    </row>
    <row r="57">
      <c r="A57" s="14" t="n">
        <v>45</v>
      </c>
      <c r="B57">
        <f>$C$5+INT(A57/12)</f>
        <v/>
      </c>
      <c r="C57">
        <f>Parametros!$B$5+INT(A57/12)</f>
        <v/>
      </c>
      <c r="D57" s="15">
        <f>IFERROR(IF($C$4="H",INDEX(Mortalidad_H!$B$3:$BX$113,MATCH(B57,Mortalidad_H!$A$3:$A$113,0),MATCH(MIN(C57,2100),Mortalidad_H!$B$2:$BX$2,0)),INDEX(Mortalidad_M!$B$3:$BX$93,MATCH(B57,Mortalidad_M!$A$3:$A$93,0),MATCH(MIN(C57,2100),Mortalidad_M!$B$2:$BX$2,0))),1)</f>
        <v/>
      </c>
      <c r="E57" s="15">
        <f>1-(1-D57)^(1/12)</f>
        <v/>
      </c>
      <c r="F57" s="16">
        <f>F56*(1-E56)</f>
        <v/>
      </c>
      <c r="G57" s="16">
        <f>1/(1+$C$7)^(A57/12)</f>
        <v/>
      </c>
      <c r="H57" s="16">
        <f>F57*G57</f>
        <v/>
      </c>
    </row>
    <row r="58">
      <c r="A58" s="14" t="n">
        <v>46</v>
      </c>
      <c r="B58">
        <f>$C$5+INT(A58/12)</f>
        <v/>
      </c>
      <c r="C58">
        <f>Parametros!$B$5+INT(A58/12)</f>
        <v/>
      </c>
      <c r="D58" s="15">
        <f>IFERROR(IF($C$4="H",INDEX(Mortalidad_H!$B$3:$BX$113,MATCH(B58,Mortalidad_H!$A$3:$A$113,0),MATCH(MIN(C58,2100),Mortalidad_H!$B$2:$BX$2,0)),INDEX(Mortalidad_M!$B$3:$BX$93,MATCH(B58,Mortalidad_M!$A$3:$A$93,0),MATCH(MIN(C58,2100),Mortalidad_M!$B$2:$BX$2,0))),1)</f>
        <v/>
      </c>
      <c r="E58" s="15">
        <f>1-(1-D58)^(1/12)</f>
        <v/>
      </c>
      <c r="F58" s="16">
        <f>F57*(1-E57)</f>
        <v/>
      </c>
      <c r="G58" s="16">
        <f>1/(1+$C$7)^(A58/12)</f>
        <v/>
      </c>
      <c r="H58" s="16">
        <f>F58*G58</f>
        <v/>
      </c>
    </row>
    <row r="59">
      <c r="A59" s="14" t="n">
        <v>47</v>
      </c>
      <c r="B59">
        <f>$C$5+INT(A59/12)</f>
        <v/>
      </c>
      <c r="C59">
        <f>Parametros!$B$5+INT(A59/12)</f>
        <v/>
      </c>
      <c r="D59" s="15">
        <f>IFERROR(IF($C$4="H",INDEX(Mortalidad_H!$B$3:$BX$113,MATCH(B59,Mortalidad_H!$A$3:$A$113,0),MATCH(MIN(C59,2100),Mortalidad_H!$B$2:$BX$2,0)),INDEX(Mortalidad_M!$B$3:$BX$93,MATCH(B59,Mortalidad_M!$A$3:$A$93,0),MATCH(MIN(C59,2100),Mortalidad_M!$B$2:$BX$2,0))),1)</f>
        <v/>
      </c>
      <c r="E59" s="15">
        <f>1-(1-D59)^(1/12)</f>
        <v/>
      </c>
      <c r="F59" s="16">
        <f>F58*(1-E58)</f>
        <v/>
      </c>
      <c r="G59" s="16">
        <f>1/(1+$C$7)^(A59/12)</f>
        <v/>
      </c>
      <c r="H59" s="16">
        <f>F59*G59</f>
        <v/>
      </c>
    </row>
    <row r="60">
      <c r="A60" s="14" t="n">
        <v>48</v>
      </c>
      <c r="B60">
        <f>$C$5+INT(A60/12)</f>
        <v/>
      </c>
      <c r="C60">
        <f>Parametros!$B$5+INT(A60/12)</f>
        <v/>
      </c>
      <c r="D60" s="15">
        <f>IFERROR(IF($C$4="H",INDEX(Mortalidad_H!$B$3:$BX$113,MATCH(B60,Mortalidad_H!$A$3:$A$113,0),MATCH(MIN(C60,2100),Mortalidad_H!$B$2:$BX$2,0)),INDEX(Mortalidad_M!$B$3:$BX$93,MATCH(B60,Mortalidad_M!$A$3:$A$93,0),MATCH(MIN(C60,2100),Mortalidad_M!$B$2:$BX$2,0))),1)</f>
        <v/>
      </c>
      <c r="E60" s="15">
        <f>1-(1-D60)^(1/12)</f>
        <v/>
      </c>
      <c r="F60" s="16">
        <f>F59*(1-E59)</f>
        <v/>
      </c>
      <c r="G60" s="16">
        <f>1/(1+$C$7)^(A60/12)</f>
        <v/>
      </c>
      <c r="H60" s="16">
        <f>F60*G60</f>
        <v/>
      </c>
    </row>
    <row r="61">
      <c r="A61" s="14" t="n">
        <v>49</v>
      </c>
      <c r="B61">
        <f>$C$5+INT(A61/12)</f>
        <v/>
      </c>
      <c r="C61">
        <f>Parametros!$B$5+INT(A61/12)</f>
        <v/>
      </c>
      <c r="D61" s="15">
        <f>IFERROR(IF($C$4="H",INDEX(Mortalidad_H!$B$3:$BX$113,MATCH(B61,Mortalidad_H!$A$3:$A$113,0),MATCH(MIN(C61,2100),Mortalidad_H!$B$2:$BX$2,0)),INDEX(Mortalidad_M!$B$3:$BX$93,MATCH(B61,Mortalidad_M!$A$3:$A$93,0),MATCH(MIN(C61,2100),Mortalidad_M!$B$2:$BX$2,0))),1)</f>
        <v/>
      </c>
      <c r="E61" s="15">
        <f>1-(1-D61)^(1/12)</f>
        <v/>
      </c>
      <c r="F61" s="16">
        <f>F60*(1-E60)</f>
        <v/>
      </c>
      <c r="G61" s="16">
        <f>1/(1+$C$7)^(A61/12)</f>
        <v/>
      </c>
      <c r="H61" s="16">
        <f>F61*G61</f>
        <v/>
      </c>
    </row>
    <row r="62">
      <c r="A62" s="14" t="n">
        <v>50</v>
      </c>
      <c r="B62">
        <f>$C$5+INT(A62/12)</f>
        <v/>
      </c>
      <c r="C62">
        <f>Parametros!$B$5+INT(A62/12)</f>
        <v/>
      </c>
      <c r="D62" s="15">
        <f>IFERROR(IF($C$4="H",INDEX(Mortalidad_H!$B$3:$BX$113,MATCH(B62,Mortalidad_H!$A$3:$A$113,0),MATCH(MIN(C62,2100),Mortalidad_H!$B$2:$BX$2,0)),INDEX(Mortalidad_M!$B$3:$BX$93,MATCH(B62,Mortalidad_M!$A$3:$A$93,0),MATCH(MIN(C62,2100),Mortalidad_M!$B$2:$BX$2,0))),1)</f>
        <v/>
      </c>
      <c r="E62" s="15">
        <f>1-(1-D62)^(1/12)</f>
        <v/>
      </c>
      <c r="F62" s="16">
        <f>F61*(1-E61)</f>
        <v/>
      </c>
      <c r="G62" s="16">
        <f>1/(1+$C$7)^(A62/12)</f>
        <v/>
      </c>
      <c r="H62" s="16">
        <f>F62*G62</f>
        <v/>
      </c>
    </row>
    <row r="63">
      <c r="A63" s="14" t="n">
        <v>51</v>
      </c>
      <c r="B63">
        <f>$C$5+INT(A63/12)</f>
        <v/>
      </c>
      <c r="C63">
        <f>Parametros!$B$5+INT(A63/12)</f>
        <v/>
      </c>
      <c r="D63" s="15">
        <f>IFERROR(IF($C$4="H",INDEX(Mortalidad_H!$B$3:$BX$113,MATCH(B63,Mortalidad_H!$A$3:$A$113,0),MATCH(MIN(C63,2100),Mortalidad_H!$B$2:$BX$2,0)),INDEX(Mortalidad_M!$B$3:$BX$93,MATCH(B63,Mortalidad_M!$A$3:$A$93,0),MATCH(MIN(C63,2100),Mortalidad_M!$B$2:$BX$2,0))),1)</f>
        <v/>
      </c>
      <c r="E63" s="15">
        <f>1-(1-D63)^(1/12)</f>
        <v/>
      </c>
      <c r="F63" s="16">
        <f>F62*(1-E62)</f>
        <v/>
      </c>
      <c r="G63" s="16">
        <f>1/(1+$C$7)^(A63/12)</f>
        <v/>
      </c>
      <c r="H63" s="16">
        <f>F63*G63</f>
        <v/>
      </c>
    </row>
    <row r="64">
      <c r="A64" s="14" t="n">
        <v>52</v>
      </c>
      <c r="B64">
        <f>$C$5+INT(A64/12)</f>
        <v/>
      </c>
      <c r="C64">
        <f>Parametros!$B$5+INT(A64/12)</f>
        <v/>
      </c>
      <c r="D64" s="15">
        <f>IFERROR(IF($C$4="H",INDEX(Mortalidad_H!$B$3:$BX$113,MATCH(B64,Mortalidad_H!$A$3:$A$113,0),MATCH(MIN(C64,2100),Mortalidad_H!$B$2:$BX$2,0)),INDEX(Mortalidad_M!$B$3:$BX$93,MATCH(B64,Mortalidad_M!$A$3:$A$93,0),MATCH(MIN(C64,2100),Mortalidad_M!$B$2:$BX$2,0))),1)</f>
        <v/>
      </c>
      <c r="E64" s="15">
        <f>1-(1-D64)^(1/12)</f>
        <v/>
      </c>
      <c r="F64" s="16">
        <f>F63*(1-E63)</f>
        <v/>
      </c>
      <c r="G64" s="16">
        <f>1/(1+$C$7)^(A64/12)</f>
        <v/>
      </c>
      <c r="H64" s="16">
        <f>F64*G64</f>
        <v/>
      </c>
    </row>
    <row r="65">
      <c r="A65" s="14" t="n">
        <v>53</v>
      </c>
      <c r="B65">
        <f>$C$5+INT(A65/12)</f>
        <v/>
      </c>
      <c r="C65">
        <f>Parametros!$B$5+INT(A65/12)</f>
        <v/>
      </c>
      <c r="D65" s="15">
        <f>IFERROR(IF($C$4="H",INDEX(Mortalidad_H!$B$3:$BX$113,MATCH(B65,Mortalidad_H!$A$3:$A$113,0),MATCH(MIN(C65,2100),Mortalidad_H!$B$2:$BX$2,0)),INDEX(Mortalidad_M!$B$3:$BX$93,MATCH(B65,Mortalidad_M!$A$3:$A$93,0),MATCH(MIN(C65,2100),Mortalidad_M!$B$2:$BX$2,0))),1)</f>
        <v/>
      </c>
      <c r="E65" s="15">
        <f>1-(1-D65)^(1/12)</f>
        <v/>
      </c>
      <c r="F65" s="16">
        <f>F64*(1-E64)</f>
        <v/>
      </c>
      <c r="G65" s="16">
        <f>1/(1+$C$7)^(A65/12)</f>
        <v/>
      </c>
      <c r="H65" s="16">
        <f>F65*G65</f>
        <v/>
      </c>
    </row>
    <row r="66">
      <c r="A66" s="14" t="n">
        <v>54</v>
      </c>
      <c r="B66">
        <f>$C$5+INT(A66/12)</f>
        <v/>
      </c>
      <c r="C66">
        <f>Parametros!$B$5+INT(A66/12)</f>
        <v/>
      </c>
      <c r="D66" s="15">
        <f>IFERROR(IF($C$4="H",INDEX(Mortalidad_H!$B$3:$BX$113,MATCH(B66,Mortalidad_H!$A$3:$A$113,0),MATCH(MIN(C66,2100),Mortalidad_H!$B$2:$BX$2,0)),INDEX(Mortalidad_M!$B$3:$BX$93,MATCH(B66,Mortalidad_M!$A$3:$A$93,0),MATCH(MIN(C66,2100),Mortalidad_M!$B$2:$BX$2,0))),1)</f>
        <v/>
      </c>
      <c r="E66" s="15">
        <f>1-(1-D66)^(1/12)</f>
        <v/>
      </c>
      <c r="F66" s="16">
        <f>F65*(1-E65)</f>
        <v/>
      </c>
      <c r="G66" s="16">
        <f>1/(1+$C$7)^(A66/12)</f>
        <v/>
      </c>
      <c r="H66" s="16">
        <f>F66*G66</f>
        <v/>
      </c>
    </row>
    <row r="67">
      <c r="A67" s="14" t="n">
        <v>55</v>
      </c>
      <c r="B67">
        <f>$C$5+INT(A67/12)</f>
        <v/>
      </c>
      <c r="C67">
        <f>Parametros!$B$5+INT(A67/12)</f>
        <v/>
      </c>
      <c r="D67" s="15">
        <f>IFERROR(IF($C$4="H",INDEX(Mortalidad_H!$B$3:$BX$113,MATCH(B67,Mortalidad_H!$A$3:$A$113,0),MATCH(MIN(C67,2100),Mortalidad_H!$B$2:$BX$2,0)),INDEX(Mortalidad_M!$B$3:$BX$93,MATCH(B67,Mortalidad_M!$A$3:$A$93,0),MATCH(MIN(C67,2100),Mortalidad_M!$B$2:$BX$2,0))),1)</f>
        <v/>
      </c>
      <c r="E67" s="15">
        <f>1-(1-D67)^(1/12)</f>
        <v/>
      </c>
      <c r="F67" s="16">
        <f>F66*(1-E66)</f>
        <v/>
      </c>
      <c r="G67" s="16">
        <f>1/(1+$C$7)^(A67/12)</f>
        <v/>
      </c>
      <c r="H67" s="16">
        <f>F67*G67</f>
        <v/>
      </c>
    </row>
    <row r="68">
      <c r="A68" s="14" t="n">
        <v>56</v>
      </c>
      <c r="B68">
        <f>$C$5+INT(A68/12)</f>
        <v/>
      </c>
      <c r="C68">
        <f>Parametros!$B$5+INT(A68/12)</f>
        <v/>
      </c>
      <c r="D68" s="15">
        <f>IFERROR(IF($C$4="H",INDEX(Mortalidad_H!$B$3:$BX$113,MATCH(B68,Mortalidad_H!$A$3:$A$113,0),MATCH(MIN(C68,2100),Mortalidad_H!$B$2:$BX$2,0)),INDEX(Mortalidad_M!$B$3:$BX$93,MATCH(B68,Mortalidad_M!$A$3:$A$93,0),MATCH(MIN(C68,2100),Mortalidad_M!$B$2:$BX$2,0))),1)</f>
        <v/>
      </c>
      <c r="E68" s="15">
        <f>1-(1-D68)^(1/12)</f>
        <v/>
      </c>
      <c r="F68" s="16">
        <f>F67*(1-E67)</f>
        <v/>
      </c>
      <c r="G68" s="16">
        <f>1/(1+$C$7)^(A68/12)</f>
        <v/>
      </c>
      <c r="H68" s="16">
        <f>F68*G68</f>
        <v/>
      </c>
    </row>
    <row r="69">
      <c r="A69" s="14" t="n">
        <v>57</v>
      </c>
      <c r="B69">
        <f>$C$5+INT(A69/12)</f>
        <v/>
      </c>
      <c r="C69">
        <f>Parametros!$B$5+INT(A69/12)</f>
        <v/>
      </c>
      <c r="D69" s="15">
        <f>IFERROR(IF($C$4="H",INDEX(Mortalidad_H!$B$3:$BX$113,MATCH(B69,Mortalidad_H!$A$3:$A$113,0),MATCH(MIN(C69,2100),Mortalidad_H!$B$2:$BX$2,0)),INDEX(Mortalidad_M!$B$3:$BX$93,MATCH(B69,Mortalidad_M!$A$3:$A$93,0),MATCH(MIN(C69,2100),Mortalidad_M!$B$2:$BX$2,0))),1)</f>
        <v/>
      </c>
      <c r="E69" s="15">
        <f>1-(1-D69)^(1/12)</f>
        <v/>
      </c>
      <c r="F69" s="16">
        <f>F68*(1-E68)</f>
        <v/>
      </c>
      <c r="G69" s="16">
        <f>1/(1+$C$7)^(A69/12)</f>
        <v/>
      </c>
      <c r="H69" s="16">
        <f>F69*G69</f>
        <v/>
      </c>
    </row>
    <row r="70">
      <c r="A70" s="14" t="n">
        <v>58</v>
      </c>
      <c r="B70">
        <f>$C$5+INT(A70/12)</f>
        <v/>
      </c>
      <c r="C70">
        <f>Parametros!$B$5+INT(A70/12)</f>
        <v/>
      </c>
      <c r="D70" s="15">
        <f>IFERROR(IF($C$4="H",INDEX(Mortalidad_H!$B$3:$BX$113,MATCH(B70,Mortalidad_H!$A$3:$A$113,0),MATCH(MIN(C70,2100),Mortalidad_H!$B$2:$BX$2,0)),INDEX(Mortalidad_M!$B$3:$BX$93,MATCH(B70,Mortalidad_M!$A$3:$A$93,0),MATCH(MIN(C70,2100),Mortalidad_M!$B$2:$BX$2,0))),1)</f>
        <v/>
      </c>
      <c r="E70" s="15">
        <f>1-(1-D70)^(1/12)</f>
        <v/>
      </c>
      <c r="F70" s="16">
        <f>F69*(1-E69)</f>
        <v/>
      </c>
      <c r="G70" s="16">
        <f>1/(1+$C$7)^(A70/12)</f>
        <v/>
      </c>
      <c r="H70" s="16">
        <f>F70*G70</f>
        <v/>
      </c>
    </row>
    <row r="71">
      <c r="A71" s="14" t="n">
        <v>59</v>
      </c>
      <c r="B71">
        <f>$C$5+INT(A71/12)</f>
        <v/>
      </c>
      <c r="C71">
        <f>Parametros!$B$5+INT(A71/12)</f>
        <v/>
      </c>
      <c r="D71" s="15">
        <f>IFERROR(IF($C$4="H",INDEX(Mortalidad_H!$B$3:$BX$113,MATCH(B71,Mortalidad_H!$A$3:$A$113,0),MATCH(MIN(C71,2100),Mortalidad_H!$B$2:$BX$2,0)),INDEX(Mortalidad_M!$B$3:$BX$93,MATCH(B71,Mortalidad_M!$A$3:$A$93,0),MATCH(MIN(C71,2100),Mortalidad_M!$B$2:$BX$2,0))),1)</f>
        <v/>
      </c>
      <c r="E71" s="15">
        <f>1-(1-D71)^(1/12)</f>
        <v/>
      </c>
      <c r="F71" s="16">
        <f>F70*(1-E70)</f>
        <v/>
      </c>
      <c r="G71" s="16">
        <f>1/(1+$C$7)^(A71/12)</f>
        <v/>
      </c>
      <c r="H71" s="16">
        <f>F71*G71</f>
        <v/>
      </c>
    </row>
    <row r="72">
      <c r="A72" s="14" t="n">
        <v>60</v>
      </c>
      <c r="B72">
        <f>$C$5+INT(A72/12)</f>
        <v/>
      </c>
      <c r="C72">
        <f>Parametros!$B$5+INT(A72/12)</f>
        <v/>
      </c>
      <c r="D72" s="15">
        <f>IFERROR(IF($C$4="H",INDEX(Mortalidad_H!$B$3:$BX$113,MATCH(B72,Mortalidad_H!$A$3:$A$113,0),MATCH(MIN(C72,2100),Mortalidad_H!$B$2:$BX$2,0)),INDEX(Mortalidad_M!$B$3:$BX$93,MATCH(B72,Mortalidad_M!$A$3:$A$93,0),MATCH(MIN(C72,2100),Mortalidad_M!$B$2:$BX$2,0))),1)</f>
        <v/>
      </c>
      <c r="E72" s="15">
        <f>1-(1-D72)^(1/12)</f>
        <v/>
      </c>
      <c r="F72" s="16">
        <f>F71*(1-E71)</f>
        <v/>
      </c>
      <c r="G72" s="16">
        <f>1/(1+$C$7)^(A72/12)</f>
        <v/>
      </c>
      <c r="H72" s="16">
        <f>F72*G72</f>
        <v/>
      </c>
    </row>
    <row r="73">
      <c r="A73" s="14" t="n">
        <v>61</v>
      </c>
      <c r="B73">
        <f>$C$5+INT(A73/12)</f>
        <v/>
      </c>
      <c r="C73">
        <f>Parametros!$B$5+INT(A73/12)</f>
        <v/>
      </c>
      <c r="D73" s="15">
        <f>IFERROR(IF($C$4="H",INDEX(Mortalidad_H!$B$3:$BX$113,MATCH(B73,Mortalidad_H!$A$3:$A$113,0),MATCH(MIN(C73,2100),Mortalidad_H!$B$2:$BX$2,0)),INDEX(Mortalidad_M!$B$3:$BX$93,MATCH(B73,Mortalidad_M!$A$3:$A$93,0),MATCH(MIN(C73,2100),Mortalidad_M!$B$2:$BX$2,0))),1)</f>
        <v/>
      </c>
      <c r="E73" s="15">
        <f>1-(1-D73)^(1/12)</f>
        <v/>
      </c>
      <c r="F73" s="16">
        <f>F72*(1-E72)</f>
        <v/>
      </c>
      <c r="G73" s="16">
        <f>1/(1+$C$7)^(A73/12)</f>
        <v/>
      </c>
      <c r="H73" s="16">
        <f>F73*G73</f>
        <v/>
      </c>
    </row>
    <row r="74">
      <c r="A74" s="14" t="n">
        <v>62</v>
      </c>
      <c r="B74">
        <f>$C$5+INT(A74/12)</f>
        <v/>
      </c>
      <c r="C74">
        <f>Parametros!$B$5+INT(A74/12)</f>
        <v/>
      </c>
      <c r="D74" s="15">
        <f>IFERROR(IF($C$4="H",INDEX(Mortalidad_H!$B$3:$BX$113,MATCH(B74,Mortalidad_H!$A$3:$A$113,0),MATCH(MIN(C74,2100),Mortalidad_H!$B$2:$BX$2,0)),INDEX(Mortalidad_M!$B$3:$BX$93,MATCH(B74,Mortalidad_M!$A$3:$A$93,0),MATCH(MIN(C74,2100),Mortalidad_M!$B$2:$BX$2,0))),1)</f>
        <v/>
      </c>
      <c r="E74" s="15">
        <f>1-(1-D74)^(1/12)</f>
        <v/>
      </c>
      <c r="F74" s="16">
        <f>F73*(1-E73)</f>
        <v/>
      </c>
      <c r="G74" s="16">
        <f>1/(1+$C$7)^(A74/12)</f>
        <v/>
      </c>
      <c r="H74" s="16">
        <f>F74*G74</f>
        <v/>
      </c>
    </row>
    <row r="75">
      <c r="A75" s="14" t="n">
        <v>63</v>
      </c>
      <c r="B75">
        <f>$C$5+INT(A75/12)</f>
        <v/>
      </c>
      <c r="C75">
        <f>Parametros!$B$5+INT(A75/12)</f>
        <v/>
      </c>
      <c r="D75" s="15">
        <f>IFERROR(IF($C$4="H",INDEX(Mortalidad_H!$B$3:$BX$113,MATCH(B75,Mortalidad_H!$A$3:$A$113,0),MATCH(MIN(C75,2100),Mortalidad_H!$B$2:$BX$2,0)),INDEX(Mortalidad_M!$B$3:$BX$93,MATCH(B75,Mortalidad_M!$A$3:$A$93,0),MATCH(MIN(C75,2100),Mortalidad_M!$B$2:$BX$2,0))),1)</f>
        <v/>
      </c>
      <c r="E75" s="15">
        <f>1-(1-D75)^(1/12)</f>
        <v/>
      </c>
      <c r="F75" s="16">
        <f>F74*(1-E74)</f>
        <v/>
      </c>
      <c r="G75" s="16">
        <f>1/(1+$C$7)^(A75/12)</f>
        <v/>
      </c>
      <c r="H75" s="16">
        <f>F75*G75</f>
        <v/>
      </c>
    </row>
    <row r="76">
      <c r="A76" s="14" t="n">
        <v>64</v>
      </c>
      <c r="B76">
        <f>$C$5+INT(A76/12)</f>
        <v/>
      </c>
      <c r="C76">
        <f>Parametros!$B$5+INT(A76/12)</f>
        <v/>
      </c>
      <c r="D76" s="15">
        <f>IFERROR(IF($C$4="H",INDEX(Mortalidad_H!$B$3:$BX$113,MATCH(B76,Mortalidad_H!$A$3:$A$113,0),MATCH(MIN(C76,2100),Mortalidad_H!$B$2:$BX$2,0)),INDEX(Mortalidad_M!$B$3:$BX$93,MATCH(B76,Mortalidad_M!$A$3:$A$93,0),MATCH(MIN(C76,2100),Mortalidad_M!$B$2:$BX$2,0))),1)</f>
        <v/>
      </c>
      <c r="E76" s="15">
        <f>1-(1-D76)^(1/12)</f>
        <v/>
      </c>
      <c r="F76" s="16">
        <f>F75*(1-E75)</f>
        <v/>
      </c>
      <c r="G76" s="16">
        <f>1/(1+$C$7)^(A76/12)</f>
        <v/>
      </c>
      <c r="H76" s="16">
        <f>F76*G76</f>
        <v/>
      </c>
    </row>
    <row r="77">
      <c r="A77" s="14" t="n">
        <v>65</v>
      </c>
      <c r="B77">
        <f>$C$5+INT(A77/12)</f>
        <v/>
      </c>
      <c r="C77">
        <f>Parametros!$B$5+INT(A77/12)</f>
        <v/>
      </c>
      <c r="D77" s="15">
        <f>IFERROR(IF($C$4="H",INDEX(Mortalidad_H!$B$3:$BX$113,MATCH(B77,Mortalidad_H!$A$3:$A$113,0),MATCH(MIN(C77,2100),Mortalidad_H!$B$2:$BX$2,0)),INDEX(Mortalidad_M!$B$3:$BX$93,MATCH(B77,Mortalidad_M!$A$3:$A$93,0),MATCH(MIN(C77,2100),Mortalidad_M!$B$2:$BX$2,0))),1)</f>
        <v/>
      </c>
      <c r="E77" s="15">
        <f>1-(1-D77)^(1/12)</f>
        <v/>
      </c>
      <c r="F77" s="16">
        <f>F76*(1-E76)</f>
        <v/>
      </c>
      <c r="G77" s="16">
        <f>1/(1+$C$7)^(A77/12)</f>
        <v/>
      </c>
      <c r="H77" s="16">
        <f>F77*G77</f>
        <v/>
      </c>
    </row>
    <row r="78">
      <c r="A78" s="14" t="n">
        <v>66</v>
      </c>
      <c r="B78">
        <f>$C$5+INT(A78/12)</f>
        <v/>
      </c>
      <c r="C78">
        <f>Parametros!$B$5+INT(A78/12)</f>
        <v/>
      </c>
      <c r="D78" s="15">
        <f>IFERROR(IF($C$4="H",INDEX(Mortalidad_H!$B$3:$BX$113,MATCH(B78,Mortalidad_H!$A$3:$A$113,0),MATCH(MIN(C78,2100),Mortalidad_H!$B$2:$BX$2,0)),INDEX(Mortalidad_M!$B$3:$BX$93,MATCH(B78,Mortalidad_M!$A$3:$A$93,0),MATCH(MIN(C78,2100),Mortalidad_M!$B$2:$BX$2,0))),1)</f>
        <v/>
      </c>
      <c r="E78" s="15">
        <f>1-(1-D78)^(1/12)</f>
        <v/>
      </c>
      <c r="F78" s="16">
        <f>F77*(1-E77)</f>
        <v/>
      </c>
      <c r="G78" s="16">
        <f>1/(1+$C$7)^(A78/12)</f>
        <v/>
      </c>
      <c r="H78" s="16">
        <f>F78*G78</f>
        <v/>
      </c>
    </row>
    <row r="79">
      <c r="A79" s="14" t="n">
        <v>67</v>
      </c>
      <c r="B79">
        <f>$C$5+INT(A79/12)</f>
        <v/>
      </c>
      <c r="C79">
        <f>Parametros!$B$5+INT(A79/12)</f>
        <v/>
      </c>
      <c r="D79" s="15">
        <f>IFERROR(IF($C$4="H",INDEX(Mortalidad_H!$B$3:$BX$113,MATCH(B79,Mortalidad_H!$A$3:$A$113,0),MATCH(MIN(C79,2100),Mortalidad_H!$B$2:$BX$2,0)),INDEX(Mortalidad_M!$B$3:$BX$93,MATCH(B79,Mortalidad_M!$A$3:$A$93,0),MATCH(MIN(C79,2100),Mortalidad_M!$B$2:$BX$2,0))),1)</f>
        <v/>
      </c>
      <c r="E79" s="15">
        <f>1-(1-D79)^(1/12)</f>
        <v/>
      </c>
      <c r="F79" s="16">
        <f>F78*(1-E78)</f>
        <v/>
      </c>
      <c r="G79" s="16">
        <f>1/(1+$C$7)^(A79/12)</f>
        <v/>
      </c>
      <c r="H79" s="16">
        <f>F79*G79</f>
        <v/>
      </c>
    </row>
    <row r="80">
      <c r="A80" s="14" t="n">
        <v>68</v>
      </c>
      <c r="B80">
        <f>$C$5+INT(A80/12)</f>
        <v/>
      </c>
      <c r="C80">
        <f>Parametros!$B$5+INT(A80/12)</f>
        <v/>
      </c>
      <c r="D80" s="15">
        <f>IFERROR(IF($C$4="H",INDEX(Mortalidad_H!$B$3:$BX$113,MATCH(B80,Mortalidad_H!$A$3:$A$113,0),MATCH(MIN(C80,2100),Mortalidad_H!$B$2:$BX$2,0)),INDEX(Mortalidad_M!$B$3:$BX$93,MATCH(B80,Mortalidad_M!$A$3:$A$93,0),MATCH(MIN(C80,2100),Mortalidad_M!$B$2:$BX$2,0))),1)</f>
        <v/>
      </c>
      <c r="E80" s="15">
        <f>1-(1-D80)^(1/12)</f>
        <v/>
      </c>
      <c r="F80" s="16">
        <f>F79*(1-E79)</f>
        <v/>
      </c>
      <c r="G80" s="16">
        <f>1/(1+$C$7)^(A80/12)</f>
        <v/>
      </c>
      <c r="H80" s="16">
        <f>F80*G80</f>
        <v/>
      </c>
    </row>
    <row r="81">
      <c r="A81" s="14" t="n">
        <v>69</v>
      </c>
      <c r="B81">
        <f>$C$5+INT(A81/12)</f>
        <v/>
      </c>
      <c r="C81">
        <f>Parametros!$B$5+INT(A81/12)</f>
        <v/>
      </c>
      <c r="D81" s="15">
        <f>IFERROR(IF($C$4="H",INDEX(Mortalidad_H!$B$3:$BX$113,MATCH(B81,Mortalidad_H!$A$3:$A$113,0),MATCH(MIN(C81,2100),Mortalidad_H!$B$2:$BX$2,0)),INDEX(Mortalidad_M!$B$3:$BX$93,MATCH(B81,Mortalidad_M!$A$3:$A$93,0),MATCH(MIN(C81,2100),Mortalidad_M!$B$2:$BX$2,0))),1)</f>
        <v/>
      </c>
      <c r="E81" s="15">
        <f>1-(1-D81)^(1/12)</f>
        <v/>
      </c>
      <c r="F81" s="16">
        <f>F80*(1-E80)</f>
        <v/>
      </c>
      <c r="G81" s="16">
        <f>1/(1+$C$7)^(A81/12)</f>
        <v/>
      </c>
      <c r="H81" s="16">
        <f>F81*G81</f>
        <v/>
      </c>
    </row>
    <row r="82">
      <c r="A82" s="14" t="n">
        <v>70</v>
      </c>
      <c r="B82">
        <f>$C$5+INT(A82/12)</f>
        <v/>
      </c>
      <c r="C82">
        <f>Parametros!$B$5+INT(A82/12)</f>
        <v/>
      </c>
      <c r="D82" s="15">
        <f>IFERROR(IF($C$4="H",INDEX(Mortalidad_H!$B$3:$BX$113,MATCH(B82,Mortalidad_H!$A$3:$A$113,0),MATCH(MIN(C82,2100),Mortalidad_H!$B$2:$BX$2,0)),INDEX(Mortalidad_M!$B$3:$BX$93,MATCH(B82,Mortalidad_M!$A$3:$A$93,0),MATCH(MIN(C82,2100),Mortalidad_M!$B$2:$BX$2,0))),1)</f>
        <v/>
      </c>
      <c r="E82" s="15">
        <f>1-(1-D82)^(1/12)</f>
        <v/>
      </c>
      <c r="F82" s="16">
        <f>F81*(1-E81)</f>
        <v/>
      </c>
      <c r="G82" s="16">
        <f>1/(1+$C$7)^(A82/12)</f>
        <v/>
      </c>
      <c r="H82" s="16">
        <f>F82*G82</f>
        <v/>
      </c>
    </row>
    <row r="83">
      <c r="A83" s="14" t="n">
        <v>71</v>
      </c>
      <c r="B83">
        <f>$C$5+INT(A83/12)</f>
        <v/>
      </c>
      <c r="C83">
        <f>Parametros!$B$5+INT(A83/12)</f>
        <v/>
      </c>
      <c r="D83" s="15">
        <f>IFERROR(IF($C$4="H",INDEX(Mortalidad_H!$B$3:$BX$113,MATCH(B83,Mortalidad_H!$A$3:$A$113,0),MATCH(MIN(C83,2100),Mortalidad_H!$B$2:$BX$2,0)),INDEX(Mortalidad_M!$B$3:$BX$93,MATCH(B83,Mortalidad_M!$A$3:$A$93,0),MATCH(MIN(C83,2100),Mortalidad_M!$B$2:$BX$2,0))),1)</f>
        <v/>
      </c>
      <c r="E83" s="15">
        <f>1-(1-D83)^(1/12)</f>
        <v/>
      </c>
      <c r="F83" s="16">
        <f>F82*(1-E82)</f>
        <v/>
      </c>
      <c r="G83" s="16">
        <f>1/(1+$C$7)^(A83/12)</f>
        <v/>
      </c>
      <c r="H83" s="16">
        <f>F83*G83</f>
        <v/>
      </c>
    </row>
    <row r="84">
      <c r="A84" s="14" t="n">
        <v>72</v>
      </c>
      <c r="B84">
        <f>$C$5+INT(A84/12)</f>
        <v/>
      </c>
      <c r="C84">
        <f>Parametros!$B$5+INT(A84/12)</f>
        <v/>
      </c>
      <c r="D84" s="15">
        <f>IFERROR(IF($C$4="H",INDEX(Mortalidad_H!$B$3:$BX$113,MATCH(B84,Mortalidad_H!$A$3:$A$113,0),MATCH(MIN(C84,2100),Mortalidad_H!$B$2:$BX$2,0)),INDEX(Mortalidad_M!$B$3:$BX$93,MATCH(B84,Mortalidad_M!$A$3:$A$93,0),MATCH(MIN(C84,2100),Mortalidad_M!$B$2:$BX$2,0))),1)</f>
        <v/>
      </c>
      <c r="E84" s="15">
        <f>1-(1-D84)^(1/12)</f>
        <v/>
      </c>
      <c r="F84" s="16">
        <f>F83*(1-E83)</f>
        <v/>
      </c>
      <c r="G84" s="16">
        <f>1/(1+$C$7)^(A84/12)</f>
        <v/>
      </c>
      <c r="H84" s="16">
        <f>F84*G84</f>
        <v/>
      </c>
    </row>
    <row r="85">
      <c r="A85" s="14" t="n">
        <v>73</v>
      </c>
      <c r="B85">
        <f>$C$5+INT(A85/12)</f>
        <v/>
      </c>
      <c r="C85">
        <f>Parametros!$B$5+INT(A85/12)</f>
        <v/>
      </c>
      <c r="D85" s="15">
        <f>IFERROR(IF($C$4="H",INDEX(Mortalidad_H!$B$3:$BX$113,MATCH(B85,Mortalidad_H!$A$3:$A$113,0),MATCH(MIN(C85,2100),Mortalidad_H!$B$2:$BX$2,0)),INDEX(Mortalidad_M!$B$3:$BX$93,MATCH(B85,Mortalidad_M!$A$3:$A$93,0),MATCH(MIN(C85,2100),Mortalidad_M!$B$2:$BX$2,0))),1)</f>
        <v/>
      </c>
      <c r="E85" s="15">
        <f>1-(1-D85)^(1/12)</f>
        <v/>
      </c>
      <c r="F85" s="16">
        <f>F84*(1-E84)</f>
        <v/>
      </c>
      <c r="G85" s="16">
        <f>1/(1+$C$7)^(A85/12)</f>
        <v/>
      </c>
      <c r="H85" s="16">
        <f>F85*G85</f>
        <v/>
      </c>
    </row>
    <row r="86">
      <c r="A86" s="14" t="n">
        <v>74</v>
      </c>
      <c r="B86">
        <f>$C$5+INT(A86/12)</f>
        <v/>
      </c>
      <c r="C86">
        <f>Parametros!$B$5+INT(A86/12)</f>
        <v/>
      </c>
      <c r="D86" s="15">
        <f>IFERROR(IF($C$4="H",INDEX(Mortalidad_H!$B$3:$BX$113,MATCH(B86,Mortalidad_H!$A$3:$A$113,0),MATCH(MIN(C86,2100),Mortalidad_H!$B$2:$BX$2,0)),INDEX(Mortalidad_M!$B$3:$BX$93,MATCH(B86,Mortalidad_M!$A$3:$A$93,0),MATCH(MIN(C86,2100),Mortalidad_M!$B$2:$BX$2,0))),1)</f>
        <v/>
      </c>
      <c r="E86" s="15">
        <f>1-(1-D86)^(1/12)</f>
        <v/>
      </c>
      <c r="F86" s="16">
        <f>F85*(1-E85)</f>
        <v/>
      </c>
      <c r="G86" s="16">
        <f>1/(1+$C$7)^(A86/12)</f>
        <v/>
      </c>
      <c r="H86" s="16">
        <f>F86*G86</f>
        <v/>
      </c>
    </row>
    <row r="87">
      <c r="A87" s="14" t="n">
        <v>75</v>
      </c>
      <c r="B87">
        <f>$C$5+INT(A87/12)</f>
        <v/>
      </c>
      <c r="C87">
        <f>Parametros!$B$5+INT(A87/12)</f>
        <v/>
      </c>
      <c r="D87" s="15">
        <f>IFERROR(IF($C$4="H",INDEX(Mortalidad_H!$B$3:$BX$113,MATCH(B87,Mortalidad_H!$A$3:$A$113,0),MATCH(MIN(C87,2100),Mortalidad_H!$B$2:$BX$2,0)),INDEX(Mortalidad_M!$B$3:$BX$93,MATCH(B87,Mortalidad_M!$A$3:$A$93,0),MATCH(MIN(C87,2100),Mortalidad_M!$B$2:$BX$2,0))),1)</f>
        <v/>
      </c>
      <c r="E87" s="15">
        <f>1-(1-D87)^(1/12)</f>
        <v/>
      </c>
      <c r="F87" s="16">
        <f>F86*(1-E86)</f>
        <v/>
      </c>
      <c r="G87" s="16">
        <f>1/(1+$C$7)^(A87/12)</f>
        <v/>
      </c>
      <c r="H87" s="16">
        <f>F87*G87</f>
        <v/>
      </c>
    </row>
    <row r="88">
      <c r="A88" s="14" t="n">
        <v>76</v>
      </c>
      <c r="B88">
        <f>$C$5+INT(A88/12)</f>
        <v/>
      </c>
      <c r="C88">
        <f>Parametros!$B$5+INT(A88/12)</f>
        <v/>
      </c>
      <c r="D88" s="15">
        <f>IFERROR(IF($C$4="H",INDEX(Mortalidad_H!$B$3:$BX$113,MATCH(B88,Mortalidad_H!$A$3:$A$113,0),MATCH(MIN(C88,2100),Mortalidad_H!$B$2:$BX$2,0)),INDEX(Mortalidad_M!$B$3:$BX$93,MATCH(B88,Mortalidad_M!$A$3:$A$93,0),MATCH(MIN(C88,2100),Mortalidad_M!$B$2:$BX$2,0))),1)</f>
        <v/>
      </c>
      <c r="E88" s="15">
        <f>1-(1-D88)^(1/12)</f>
        <v/>
      </c>
      <c r="F88" s="16">
        <f>F87*(1-E87)</f>
        <v/>
      </c>
      <c r="G88" s="16">
        <f>1/(1+$C$7)^(A88/12)</f>
        <v/>
      </c>
      <c r="H88" s="16">
        <f>F88*G88</f>
        <v/>
      </c>
    </row>
    <row r="89">
      <c r="A89" s="14" t="n">
        <v>77</v>
      </c>
      <c r="B89">
        <f>$C$5+INT(A89/12)</f>
        <v/>
      </c>
      <c r="C89">
        <f>Parametros!$B$5+INT(A89/12)</f>
        <v/>
      </c>
      <c r="D89" s="15">
        <f>IFERROR(IF($C$4="H",INDEX(Mortalidad_H!$B$3:$BX$113,MATCH(B89,Mortalidad_H!$A$3:$A$113,0),MATCH(MIN(C89,2100),Mortalidad_H!$B$2:$BX$2,0)),INDEX(Mortalidad_M!$B$3:$BX$93,MATCH(B89,Mortalidad_M!$A$3:$A$93,0),MATCH(MIN(C89,2100),Mortalidad_M!$B$2:$BX$2,0))),1)</f>
        <v/>
      </c>
      <c r="E89" s="15">
        <f>1-(1-D89)^(1/12)</f>
        <v/>
      </c>
      <c r="F89" s="16">
        <f>F88*(1-E88)</f>
        <v/>
      </c>
      <c r="G89" s="16">
        <f>1/(1+$C$7)^(A89/12)</f>
        <v/>
      </c>
      <c r="H89" s="16">
        <f>F89*G89</f>
        <v/>
      </c>
    </row>
    <row r="90">
      <c r="A90" s="14" t="n">
        <v>78</v>
      </c>
      <c r="B90">
        <f>$C$5+INT(A90/12)</f>
        <v/>
      </c>
      <c r="C90">
        <f>Parametros!$B$5+INT(A90/12)</f>
        <v/>
      </c>
      <c r="D90" s="15">
        <f>IFERROR(IF($C$4="H",INDEX(Mortalidad_H!$B$3:$BX$113,MATCH(B90,Mortalidad_H!$A$3:$A$113,0),MATCH(MIN(C90,2100),Mortalidad_H!$B$2:$BX$2,0)),INDEX(Mortalidad_M!$B$3:$BX$93,MATCH(B90,Mortalidad_M!$A$3:$A$93,0),MATCH(MIN(C90,2100),Mortalidad_M!$B$2:$BX$2,0))),1)</f>
        <v/>
      </c>
      <c r="E90" s="15">
        <f>1-(1-D90)^(1/12)</f>
        <v/>
      </c>
      <c r="F90" s="16">
        <f>F89*(1-E89)</f>
        <v/>
      </c>
      <c r="G90" s="16">
        <f>1/(1+$C$7)^(A90/12)</f>
        <v/>
      </c>
      <c r="H90" s="16">
        <f>F90*G90</f>
        <v/>
      </c>
    </row>
    <row r="91">
      <c r="A91" s="14" t="n">
        <v>79</v>
      </c>
      <c r="B91">
        <f>$C$5+INT(A91/12)</f>
        <v/>
      </c>
      <c r="C91">
        <f>Parametros!$B$5+INT(A91/12)</f>
        <v/>
      </c>
      <c r="D91" s="15">
        <f>IFERROR(IF($C$4="H",INDEX(Mortalidad_H!$B$3:$BX$113,MATCH(B91,Mortalidad_H!$A$3:$A$113,0),MATCH(MIN(C91,2100),Mortalidad_H!$B$2:$BX$2,0)),INDEX(Mortalidad_M!$B$3:$BX$93,MATCH(B91,Mortalidad_M!$A$3:$A$93,0),MATCH(MIN(C91,2100),Mortalidad_M!$B$2:$BX$2,0))),1)</f>
        <v/>
      </c>
      <c r="E91" s="15">
        <f>1-(1-D91)^(1/12)</f>
        <v/>
      </c>
      <c r="F91" s="16">
        <f>F90*(1-E90)</f>
        <v/>
      </c>
      <c r="G91" s="16">
        <f>1/(1+$C$7)^(A91/12)</f>
        <v/>
      </c>
      <c r="H91" s="16">
        <f>F91*G91</f>
        <v/>
      </c>
    </row>
    <row r="92">
      <c r="A92" s="14" t="n">
        <v>80</v>
      </c>
      <c r="B92">
        <f>$C$5+INT(A92/12)</f>
        <v/>
      </c>
      <c r="C92">
        <f>Parametros!$B$5+INT(A92/12)</f>
        <v/>
      </c>
      <c r="D92" s="15">
        <f>IFERROR(IF($C$4="H",INDEX(Mortalidad_H!$B$3:$BX$113,MATCH(B92,Mortalidad_H!$A$3:$A$113,0),MATCH(MIN(C92,2100),Mortalidad_H!$B$2:$BX$2,0)),INDEX(Mortalidad_M!$B$3:$BX$93,MATCH(B92,Mortalidad_M!$A$3:$A$93,0),MATCH(MIN(C92,2100),Mortalidad_M!$B$2:$BX$2,0))),1)</f>
        <v/>
      </c>
      <c r="E92" s="15">
        <f>1-(1-D92)^(1/12)</f>
        <v/>
      </c>
      <c r="F92" s="16">
        <f>F91*(1-E91)</f>
        <v/>
      </c>
      <c r="G92" s="16">
        <f>1/(1+$C$7)^(A92/12)</f>
        <v/>
      </c>
      <c r="H92" s="16">
        <f>F92*G92</f>
        <v/>
      </c>
    </row>
    <row r="93">
      <c r="A93" s="14" t="n">
        <v>81</v>
      </c>
      <c r="B93">
        <f>$C$5+INT(A93/12)</f>
        <v/>
      </c>
      <c r="C93">
        <f>Parametros!$B$5+INT(A93/12)</f>
        <v/>
      </c>
      <c r="D93" s="15">
        <f>IFERROR(IF($C$4="H",INDEX(Mortalidad_H!$B$3:$BX$113,MATCH(B93,Mortalidad_H!$A$3:$A$113,0),MATCH(MIN(C93,2100),Mortalidad_H!$B$2:$BX$2,0)),INDEX(Mortalidad_M!$B$3:$BX$93,MATCH(B93,Mortalidad_M!$A$3:$A$93,0),MATCH(MIN(C93,2100),Mortalidad_M!$B$2:$BX$2,0))),1)</f>
        <v/>
      </c>
      <c r="E93" s="15">
        <f>1-(1-D93)^(1/12)</f>
        <v/>
      </c>
      <c r="F93" s="16">
        <f>F92*(1-E92)</f>
        <v/>
      </c>
      <c r="G93" s="16">
        <f>1/(1+$C$7)^(A93/12)</f>
        <v/>
      </c>
      <c r="H93" s="16">
        <f>F93*G93</f>
        <v/>
      </c>
    </row>
    <row r="94">
      <c r="A94" s="14" t="n">
        <v>82</v>
      </c>
      <c r="B94">
        <f>$C$5+INT(A94/12)</f>
        <v/>
      </c>
      <c r="C94">
        <f>Parametros!$B$5+INT(A94/12)</f>
        <v/>
      </c>
      <c r="D94" s="15">
        <f>IFERROR(IF($C$4="H",INDEX(Mortalidad_H!$B$3:$BX$113,MATCH(B94,Mortalidad_H!$A$3:$A$113,0),MATCH(MIN(C94,2100),Mortalidad_H!$B$2:$BX$2,0)),INDEX(Mortalidad_M!$B$3:$BX$93,MATCH(B94,Mortalidad_M!$A$3:$A$93,0),MATCH(MIN(C94,2100),Mortalidad_M!$B$2:$BX$2,0))),1)</f>
        <v/>
      </c>
      <c r="E94" s="15">
        <f>1-(1-D94)^(1/12)</f>
        <v/>
      </c>
      <c r="F94" s="16">
        <f>F93*(1-E93)</f>
        <v/>
      </c>
      <c r="G94" s="16">
        <f>1/(1+$C$7)^(A94/12)</f>
        <v/>
      </c>
      <c r="H94" s="16">
        <f>F94*G94</f>
        <v/>
      </c>
    </row>
    <row r="95">
      <c r="A95" s="14" t="n">
        <v>83</v>
      </c>
      <c r="B95">
        <f>$C$5+INT(A95/12)</f>
        <v/>
      </c>
      <c r="C95">
        <f>Parametros!$B$5+INT(A95/12)</f>
        <v/>
      </c>
      <c r="D95" s="15">
        <f>IFERROR(IF($C$4="H",INDEX(Mortalidad_H!$B$3:$BX$113,MATCH(B95,Mortalidad_H!$A$3:$A$113,0),MATCH(MIN(C95,2100),Mortalidad_H!$B$2:$BX$2,0)),INDEX(Mortalidad_M!$B$3:$BX$93,MATCH(B95,Mortalidad_M!$A$3:$A$93,0),MATCH(MIN(C95,2100),Mortalidad_M!$B$2:$BX$2,0))),1)</f>
        <v/>
      </c>
      <c r="E95" s="15">
        <f>1-(1-D95)^(1/12)</f>
        <v/>
      </c>
      <c r="F95" s="16">
        <f>F94*(1-E94)</f>
        <v/>
      </c>
      <c r="G95" s="16">
        <f>1/(1+$C$7)^(A95/12)</f>
        <v/>
      </c>
      <c r="H95" s="16">
        <f>F95*G95</f>
        <v/>
      </c>
    </row>
    <row r="96">
      <c r="A96" s="14" t="n">
        <v>84</v>
      </c>
      <c r="B96">
        <f>$C$5+INT(A96/12)</f>
        <v/>
      </c>
      <c r="C96">
        <f>Parametros!$B$5+INT(A96/12)</f>
        <v/>
      </c>
      <c r="D96" s="15">
        <f>IFERROR(IF($C$4="H",INDEX(Mortalidad_H!$B$3:$BX$113,MATCH(B96,Mortalidad_H!$A$3:$A$113,0),MATCH(MIN(C96,2100),Mortalidad_H!$B$2:$BX$2,0)),INDEX(Mortalidad_M!$B$3:$BX$93,MATCH(B96,Mortalidad_M!$A$3:$A$93,0),MATCH(MIN(C96,2100),Mortalidad_M!$B$2:$BX$2,0))),1)</f>
        <v/>
      </c>
      <c r="E96" s="15">
        <f>1-(1-D96)^(1/12)</f>
        <v/>
      </c>
      <c r="F96" s="16">
        <f>F95*(1-E95)</f>
        <v/>
      </c>
      <c r="G96" s="16">
        <f>1/(1+$C$7)^(A96/12)</f>
        <v/>
      </c>
      <c r="H96" s="16">
        <f>F96*G96</f>
        <v/>
      </c>
    </row>
    <row r="97">
      <c r="A97" s="14" t="n">
        <v>85</v>
      </c>
      <c r="B97">
        <f>$C$5+INT(A97/12)</f>
        <v/>
      </c>
      <c r="C97">
        <f>Parametros!$B$5+INT(A97/12)</f>
        <v/>
      </c>
      <c r="D97" s="15">
        <f>IFERROR(IF($C$4="H",INDEX(Mortalidad_H!$B$3:$BX$113,MATCH(B97,Mortalidad_H!$A$3:$A$113,0),MATCH(MIN(C97,2100),Mortalidad_H!$B$2:$BX$2,0)),INDEX(Mortalidad_M!$B$3:$BX$93,MATCH(B97,Mortalidad_M!$A$3:$A$93,0),MATCH(MIN(C97,2100),Mortalidad_M!$B$2:$BX$2,0))),1)</f>
        <v/>
      </c>
      <c r="E97" s="15">
        <f>1-(1-D97)^(1/12)</f>
        <v/>
      </c>
      <c r="F97" s="16">
        <f>F96*(1-E96)</f>
        <v/>
      </c>
      <c r="G97" s="16">
        <f>1/(1+$C$7)^(A97/12)</f>
        <v/>
      </c>
      <c r="H97" s="16">
        <f>F97*G97</f>
        <v/>
      </c>
    </row>
    <row r="98">
      <c r="A98" s="14" t="n">
        <v>86</v>
      </c>
      <c r="B98">
        <f>$C$5+INT(A98/12)</f>
        <v/>
      </c>
      <c r="C98">
        <f>Parametros!$B$5+INT(A98/12)</f>
        <v/>
      </c>
      <c r="D98" s="15">
        <f>IFERROR(IF($C$4="H",INDEX(Mortalidad_H!$B$3:$BX$113,MATCH(B98,Mortalidad_H!$A$3:$A$113,0),MATCH(MIN(C98,2100),Mortalidad_H!$B$2:$BX$2,0)),INDEX(Mortalidad_M!$B$3:$BX$93,MATCH(B98,Mortalidad_M!$A$3:$A$93,0),MATCH(MIN(C98,2100),Mortalidad_M!$B$2:$BX$2,0))),1)</f>
        <v/>
      </c>
      <c r="E98" s="15">
        <f>1-(1-D98)^(1/12)</f>
        <v/>
      </c>
      <c r="F98" s="16">
        <f>F97*(1-E97)</f>
        <v/>
      </c>
      <c r="G98" s="16">
        <f>1/(1+$C$7)^(A98/12)</f>
        <v/>
      </c>
      <c r="H98" s="16">
        <f>F98*G98</f>
        <v/>
      </c>
    </row>
    <row r="99">
      <c r="A99" s="14" t="n">
        <v>87</v>
      </c>
      <c r="B99">
        <f>$C$5+INT(A99/12)</f>
        <v/>
      </c>
      <c r="C99">
        <f>Parametros!$B$5+INT(A99/12)</f>
        <v/>
      </c>
      <c r="D99" s="15">
        <f>IFERROR(IF($C$4="H",INDEX(Mortalidad_H!$B$3:$BX$113,MATCH(B99,Mortalidad_H!$A$3:$A$113,0),MATCH(MIN(C99,2100),Mortalidad_H!$B$2:$BX$2,0)),INDEX(Mortalidad_M!$B$3:$BX$93,MATCH(B99,Mortalidad_M!$A$3:$A$93,0),MATCH(MIN(C99,2100),Mortalidad_M!$B$2:$BX$2,0))),1)</f>
        <v/>
      </c>
      <c r="E99" s="15">
        <f>1-(1-D99)^(1/12)</f>
        <v/>
      </c>
      <c r="F99" s="16">
        <f>F98*(1-E98)</f>
        <v/>
      </c>
      <c r="G99" s="16">
        <f>1/(1+$C$7)^(A99/12)</f>
        <v/>
      </c>
      <c r="H99" s="16">
        <f>F99*G99</f>
        <v/>
      </c>
    </row>
    <row r="100">
      <c r="A100" s="14" t="n">
        <v>88</v>
      </c>
      <c r="B100">
        <f>$C$5+INT(A100/12)</f>
        <v/>
      </c>
      <c r="C100">
        <f>Parametros!$B$5+INT(A100/12)</f>
        <v/>
      </c>
      <c r="D100" s="15">
        <f>IFERROR(IF($C$4="H",INDEX(Mortalidad_H!$B$3:$BX$113,MATCH(B100,Mortalidad_H!$A$3:$A$113,0),MATCH(MIN(C100,2100),Mortalidad_H!$B$2:$BX$2,0)),INDEX(Mortalidad_M!$B$3:$BX$93,MATCH(B100,Mortalidad_M!$A$3:$A$93,0),MATCH(MIN(C100,2100),Mortalidad_M!$B$2:$BX$2,0))),1)</f>
        <v/>
      </c>
      <c r="E100" s="15">
        <f>1-(1-D100)^(1/12)</f>
        <v/>
      </c>
      <c r="F100" s="16">
        <f>F99*(1-E99)</f>
        <v/>
      </c>
      <c r="G100" s="16">
        <f>1/(1+$C$7)^(A100/12)</f>
        <v/>
      </c>
      <c r="H100" s="16">
        <f>F100*G100</f>
        <v/>
      </c>
    </row>
    <row r="101">
      <c r="A101" s="14" t="n">
        <v>89</v>
      </c>
      <c r="B101">
        <f>$C$5+INT(A101/12)</f>
        <v/>
      </c>
      <c r="C101">
        <f>Parametros!$B$5+INT(A101/12)</f>
        <v/>
      </c>
      <c r="D101" s="15">
        <f>IFERROR(IF($C$4="H",INDEX(Mortalidad_H!$B$3:$BX$113,MATCH(B101,Mortalidad_H!$A$3:$A$113,0),MATCH(MIN(C101,2100),Mortalidad_H!$B$2:$BX$2,0)),INDEX(Mortalidad_M!$B$3:$BX$93,MATCH(B101,Mortalidad_M!$A$3:$A$93,0),MATCH(MIN(C101,2100),Mortalidad_M!$B$2:$BX$2,0))),1)</f>
        <v/>
      </c>
      <c r="E101" s="15">
        <f>1-(1-D101)^(1/12)</f>
        <v/>
      </c>
      <c r="F101" s="16">
        <f>F100*(1-E100)</f>
        <v/>
      </c>
      <c r="G101" s="16">
        <f>1/(1+$C$7)^(A101/12)</f>
        <v/>
      </c>
      <c r="H101" s="16">
        <f>F101*G101</f>
        <v/>
      </c>
    </row>
    <row r="102">
      <c r="A102" s="14" t="n">
        <v>90</v>
      </c>
      <c r="B102">
        <f>$C$5+INT(A102/12)</f>
        <v/>
      </c>
      <c r="C102">
        <f>Parametros!$B$5+INT(A102/12)</f>
        <v/>
      </c>
      <c r="D102" s="15">
        <f>IFERROR(IF($C$4="H",INDEX(Mortalidad_H!$B$3:$BX$113,MATCH(B102,Mortalidad_H!$A$3:$A$113,0),MATCH(MIN(C102,2100),Mortalidad_H!$B$2:$BX$2,0)),INDEX(Mortalidad_M!$B$3:$BX$93,MATCH(B102,Mortalidad_M!$A$3:$A$93,0),MATCH(MIN(C102,2100),Mortalidad_M!$B$2:$BX$2,0))),1)</f>
        <v/>
      </c>
      <c r="E102" s="15">
        <f>1-(1-D102)^(1/12)</f>
        <v/>
      </c>
      <c r="F102" s="16">
        <f>F101*(1-E101)</f>
        <v/>
      </c>
      <c r="G102" s="16">
        <f>1/(1+$C$7)^(A102/12)</f>
        <v/>
      </c>
      <c r="H102" s="16">
        <f>F102*G102</f>
        <v/>
      </c>
    </row>
    <row r="103">
      <c r="A103" s="14" t="n">
        <v>91</v>
      </c>
      <c r="B103">
        <f>$C$5+INT(A103/12)</f>
        <v/>
      </c>
      <c r="C103">
        <f>Parametros!$B$5+INT(A103/12)</f>
        <v/>
      </c>
      <c r="D103" s="15">
        <f>IFERROR(IF($C$4="H",INDEX(Mortalidad_H!$B$3:$BX$113,MATCH(B103,Mortalidad_H!$A$3:$A$113,0),MATCH(MIN(C103,2100),Mortalidad_H!$B$2:$BX$2,0)),INDEX(Mortalidad_M!$B$3:$BX$93,MATCH(B103,Mortalidad_M!$A$3:$A$93,0),MATCH(MIN(C103,2100),Mortalidad_M!$B$2:$BX$2,0))),1)</f>
        <v/>
      </c>
      <c r="E103" s="15">
        <f>1-(1-D103)^(1/12)</f>
        <v/>
      </c>
      <c r="F103" s="16">
        <f>F102*(1-E102)</f>
        <v/>
      </c>
      <c r="G103" s="16">
        <f>1/(1+$C$7)^(A103/12)</f>
        <v/>
      </c>
      <c r="H103" s="16">
        <f>F103*G103</f>
        <v/>
      </c>
    </row>
    <row r="104">
      <c r="A104" s="14" t="n">
        <v>92</v>
      </c>
      <c r="B104">
        <f>$C$5+INT(A104/12)</f>
        <v/>
      </c>
      <c r="C104">
        <f>Parametros!$B$5+INT(A104/12)</f>
        <v/>
      </c>
      <c r="D104" s="15">
        <f>IFERROR(IF($C$4="H",INDEX(Mortalidad_H!$B$3:$BX$113,MATCH(B104,Mortalidad_H!$A$3:$A$113,0),MATCH(MIN(C104,2100),Mortalidad_H!$B$2:$BX$2,0)),INDEX(Mortalidad_M!$B$3:$BX$93,MATCH(B104,Mortalidad_M!$A$3:$A$93,0),MATCH(MIN(C104,2100),Mortalidad_M!$B$2:$BX$2,0))),1)</f>
        <v/>
      </c>
      <c r="E104" s="15">
        <f>1-(1-D104)^(1/12)</f>
        <v/>
      </c>
      <c r="F104" s="16">
        <f>F103*(1-E103)</f>
        <v/>
      </c>
      <c r="G104" s="16">
        <f>1/(1+$C$7)^(A104/12)</f>
        <v/>
      </c>
      <c r="H104" s="16">
        <f>F104*G104</f>
        <v/>
      </c>
    </row>
    <row r="105">
      <c r="A105" s="14" t="n">
        <v>93</v>
      </c>
      <c r="B105">
        <f>$C$5+INT(A105/12)</f>
        <v/>
      </c>
      <c r="C105">
        <f>Parametros!$B$5+INT(A105/12)</f>
        <v/>
      </c>
      <c r="D105" s="15">
        <f>IFERROR(IF($C$4="H",INDEX(Mortalidad_H!$B$3:$BX$113,MATCH(B105,Mortalidad_H!$A$3:$A$113,0),MATCH(MIN(C105,2100),Mortalidad_H!$B$2:$BX$2,0)),INDEX(Mortalidad_M!$B$3:$BX$93,MATCH(B105,Mortalidad_M!$A$3:$A$93,0),MATCH(MIN(C105,2100),Mortalidad_M!$B$2:$BX$2,0))),1)</f>
        <v/>
      </c>
      <c r="E105" s="15">
        <f>1-(1-D105)^(1/12)</f>
        <v/>
      </c>
      <c r="F105" s="16">
        <f>F104*(1-E104)</f>
        <v/>
      </c>
      <c r="G105" s="16">
        <f>1/(1+$C$7)^(A105/12)</f>
        <v/>
      </c>
      <c r="H105" s="16">
        <f>F105*G105</f>
        <v/>
      </c>
    </row>
    <row r="106">
      <c r="A106" s="14" t="n">
        <v>94</v>
      </c>
      <c r="B106">
        <f>$C$5+INT(A106/12)</f>
        <v/>
      </c>
      <c r="C106">
        <f>Parametros!$B$5+INT(A106/12)</f>
        <v/>
      </c>
      <c r="D106" s="15">
        <f>IFERROR(IF($C$4="H",INDEX(Mortalidad_H!$B$3:$BX$113,MATCH(B106,Mortalidad_H!$A$3:$A$113,0),MATCH(MIN(C106,2100),Mortalidad_H!$B$2:$BX$2,0)),INDEX(Mortalidad_M!$B$3:$BX$93,MATCH(B106,Mortalidad_M!$A$3:$A$93,0),MATCH(MIN(C106,2100),Mortalidad_M!$B$2:$BX$2,0))),1)</f>
        <v/>
      </c>
      <c r="E106" s="15">
        <f>1-(1-D106)^(1/12)</f>
        <v/>
      </c>
      <c r="F106" s="16">
        <f>F105*(1-E105)</f>
        <v/>
      </c>
      <c r="G106" s="16">
        <f>1/(1+$C$7)^(A106/12)</f>
        <v/>
      </c>
      <c r="H106" s="16">
        <f>F106*G106</f>
        <v/>
      </c>
    </row>
    <row r="107">
      <c r="A107" s="14" t="n">
        <v>95</v>
      </c>
      <c r="B107">
        <f>$C$5+INT(A107/12)</f>
        <v/>
      </c>
      <c r="C107">
        <f>Parametros!$B$5+INT(A107/12)</f>
        <v/>
      </c>
      <c r="D107" s="15">
        <f>IFERROR(IF($C$4="H",INDEX(Mortalidad_H!$B$3:$BX$113,MATCH(B107,Mortalidad_H!$A$3:$A$113,0),MATCH(MIN(C107,2100),Mortalidad_H!$B$2:$BX$2,0)),INDEX(Mortalidad_M!$B$3:$BX$93,MATCH(B107,Mortalidad_M!$A$3:$A$93,0),MATCH(MIN(C107,2100),Mortalidad_M!$B$2:$BX$2,0))),1)</f>
        <v/>
      </c>
      <c r="E107" s="15">
        <f>1-(1-D107)^(1/12)</f>
        <v/>
      </c>
      <c r="F107" s="16">
        <f>F106*(1-E106)</f>
        <v/>
      </c>
      <c r="G107" s="16">
        <f>1/(1+$C$7)^(A107/12)</f>
        <v/>
      </c>
      <c r="H107" s="16">
        <f>F107*G107</f>
        <v/>
      </c>
    </row>
    <row r="108">
      <c r="A108" s="14" t="n">
        <v>96</v>
      </c>
      <c r="B108">
        <f>$C$5+INT(A108/12)</f>
        <v/>
      </c>
      <c r="C108">
        <f>Parametros!$B$5+INT(A108/12)</f>
        <v/>
      </c>
      <c r="D108" s="15">
        <f>IFERROR(IF($C$4="H",INDEX(Mortalidad_H!$B$3:$BX$113,MATCH(B108,Mortalidad_H!$A$3:$A$113,0),MATCH(MIN(C108,2100),Mortalidad_H!$B$2:$BX$2,0)),INDEX(Mortalidad_M!$B$3:$BX$93,MATCH(B108,Mortalidad_M!$A$3:$A$93,0),MATCH(MIN(C108,2100),Mortalidad_M!$B$2:$BX$2,0))),1)</f>
        <v/>
      </c>
      <c r="E108" s="15">
        <f>1-(1-D108)^(1/12)</f>
        <v/>
      </c>
      <c r="F108" s="16">
        <f>F107*(1-E107)</f>
        <v/>
      </c>
      <c r="G108" s="16">
        <f>1/(1+$C$7)^(A108/12)</f>
        <v/>
      </c>
      <c r="H108" s="16">
        <f>F108*G108</f>
        <v/>
      </c>
    </row>
    <row r="109">
      <c r="A109" s="14" t="n">
        <v>97</v>
      </c>
      <c r="B109">
        <f>$C$5+INT(A109/12)</f>
        <v/>
      </c>
      <c r="C109">
        <f>Parametros!$B$5+INT(A109/12)</f>
        <v/>
      </c>
      <c r="D109" s="15">
        <f>IFERROR(IF($C$4="H",INDEX(Mortalidad_H!$B$3:$BX$113,MATCH(B109,Mortalidad_H!$A$3:$A$113,0),MATCH(MIN(C109,2100),Mortalidad_H!$B$2:$BX$2,0)),INDEX(Mortalidad_M!$B$3:$BX$93,MATCH(B109,Mortalidad_M!$A$3:$A$93,0),MATCH(MIN(C109,2100),Mortalidad_M!$B$2:$BX$2,0))),1)</f>
        <v/>
      </c>
      <c r="E109" s="15">
        <f>1-(1-D109)^(1/12)</f>
        <v/>
      </c>
      <c r="F109" s="16">
        <f>F108*(1-E108)</f>
        <v/>
      </c>
      <c r="G109" s="16">
        <f>1/(1+$C$7)^(A109/12)</f>
        <v/>
      </c>
      <c r="H109" s="16">
        <f>F109*G109</f>
        <v/>
      </c>
    </row>
    <row r="110">
      <c r="A110" s="14" t="n">
        <v>98</v>
      </c>
      <c r="B110">
        <f>$C$5+INT(A110/12)</f>
        <v/>
      </c>
      <c r="C110">
        <f>Parametros!$B$5+INT(A110/12)</f>
        <v/>
      </c>
      <c r="D110" s="15">
        <f>IFERROR(IF($C$4="H",INDEX(Mortalidad_H!$B$3:$BX$113,MATCH(B110,Mortalidad_H!$A$3:$A$113,0),MATCH(MIN(C110,2100),Mortalidad_H!$B$2:$BX$2,0)),INDEX(Mortalidad_M!$B$3:$BX$93,MATCH(B110,Mortalidad_M!$A$3:$A$93,0),MATCH(MIN(C110,2100),Mortalidad_M!$B$2:$BX$2,0))),1)</f>
        <v/>
      </c>
      <c r="E110" s="15">
        <f>1-(1-D110)^(1/12)</f>
        <v/>
      </c>
      <c r="F110" s="16">
        <f>F109*(1-E109)</f>
        <v/>
      </c>
      <c r="G110" s="16">
        <f>1/(1+$C$7)^(A110/12)</f>
        <v/>
      </c>
      <c r="H110" s="16">
        <f>F110*G110</f>
        <v/>
      </c>
    </row>
    <row r="111">
      <c r="A111" s="14" t="n">
        <v>99</v>
      </c>
      <c r="B111">
        <f>$C$5+INT(A111/12)</f>
        <v/>
      </c>
      <c r="C111">
        <f>Parametros!$B$5+INT(A111/12)</f>
        <v/>
      </c>
      <c r="D111" s="15">
        <f>IFERROR(IF($C$4="H",INDEX(Mortalidad_H!$B$3:$BX$113,MATCH(B111,Mortalidad_H!$A$3:$A$113,0),MATCH(MIN(C111,2100),Mortalidad_H!$B$2:$BX$2,0)),INDEX(Mortalidad_M!$B$3:$BX$93,MATCH(B111,Mortalidad_M!$A$3:$A$93,0),MATCH(MIN(C111,2100),Mortalidad_M!$B$2:$BX$2,0))),1)</f>
        <v/>
      </c>
      <c r="E111" s="15">
        <f>1-(1-D111)^(1/12)</f>
        <v/>
      </c>
      <c r="F111" s="16">
        <f>F110*(1-E110)</f>
        <v/>
      </c>
      <c r="G111" s="16">
        <f>1/(1+$C$7)^(A111/12)</f>
        <v/>
      </c>
      <c r="H111" s="16">
        <f>F111*G111</f>
        <v/>
      </c>
    </row>
    <row r="112">
      <c r="A112" s="14" t="n">
        <v>100</v>
      </c>
      <c r="B112">
        <f>$C$5+INT(A112/12)</f>
        <v/>
      </c>
      <c r="C112">
        <f>Parametros!$B$5+INT(A112/12)</f>
        <v/>
      </c>
      <c r="D112" s="15">
        <f>IFERROR(IF($C$4="H",INDEX(Mortalidad_H!$B$3:$BX$113,MATCH(B112,Mortalidad_H!$A$3:$A$113,0),MATCH(MIN(C112,2100),Mortalidad_H!$B$2:$BX$2,0)),INDEX(Mortalidad_M!$B$3:$BX$93,MATCH(B112,Mortalidad_M!$A$3:$A$93,0),MATCH(MIN(C112,2100),Mortalidad_M!$B$2:$BX$2,0))),1)</f>
        <v/>
      </c>
      <c r="E112" s="15">
        <f>1-(1-D112)^(1/12)</f>
        <v/>
      </c>
      <c r="F112" s="16">
        <f>F111*(1-E111)</f>
        <v/>
      </c>
      <c r="G112" s="16">
        <f>1/(1+$C$7)^(A112/12)</f>
        <v/>
      </c>
      <c r="H112" s="16">
        <f>F112*G112</f>
        <v/>
      </c>
    </row>
    <row r="113">
      <c r="A113" s="14" t="n">
        <v>101</v>
      </c>
      <c r="B113">
        <f>$C$5+INT(A113/12)</f>
        <v/>
      </c>
      <c r="C113">
        <f>Parametros!$B$5+INT(A113/12)</f>
        <v/>
      </c>
      <c r="D113" s="15">
        <f>IFERROR(IF($C$4="H",INDEX(Mortalidad_H!$B$3:$BX$113,MATCH(B113,Mortalidad_H!$A$3:$A$113,0),MATCH(MIN(C113,2100),Mortalidad_H!$B$2:$BX$2,0)),INDEX(Mortalidad_M!$B$3:$BX$93,MATCH(B113,Mortalidad_M!$A$3:$A$93,0),MATCH(MIN(C113,2100),Mortalidad_M!$B$2:$BX$2,0))),1)</f>
        <v/>
      </c>
      <c r="E113" s="15">
        <f>1-(1-D113)^(1/12)</f>
        <v/>
      </c>
      <c r="F113" s="16">
        <f>F112*(1-E112)</f>
        <v/>
      </c>
      <c r="G113" s="16">
        <f>1/(1+$C$7)^(A113/12)</f>
        <v/>
      </c>
      <c r="H113" s="16">
        <f>F113*G113</f>
        <v/>
      </c>
    </row>
    <row r="114">
      <c r="A114" s="14" t="n">
        <v>102</v>
      </c>
      <c r="B114">
        <f>$C$5+INT(A114/12)</f>
        <v/>
      </c>
      <c r="C114">
        <f>Parametros!$B$5+INT(A114/12)</f>
        <v/>
      </c>
      <c r="D114" s="15">
        <f>IFERROR(IF($C$4="H",INDEX(Mortalidad_H!$B$3:$BX$113,MATCH(B114,Mortalidad_H!$A$3:$A$113,0),MATCH(MIN(C114,2100),Mortalidad_H!$B$2:$BX$2,0)),INDEX(Mortalidad_M!$B$3:$BX$93,MATCH(B114,Mortalidad_M!$A$3:$A$93,0),MATCH(MIN(C114,2100),Mortalidad_M!$B$2:$BX$2,0))),1)</f>
        <v/>
      </c>
      <c r="E114" s="15">
        <f>1-(1-D114)^(1/12)</f>
        <v/>
      </c>
      <c r="F114" s="16">
        <f>F113*(1-E113)</f>
        <v/>
      </c>
      <c r="G114" s="16">
        <f>1/(1+$C$7)^(A114/12)</f>
        <v/>
      </c>
      <c r="H114" s="16">
        <f>F114*G114</f>
        <v/>
      </c>
    </row>
    <row r="115">
      <c r="A115" s="14" t="n">
        <v>103</v>
      </c>
      <c r="B115">
        <f>$C$5+INT(A115/12)</f>
        <v/>
      </c>
      <c r="C115">
        <f>Parametros!$B$5+INT(A115/12)</f>
        <v/>
      </c>
      <c r="D115" s="15">
        <f>IFERROR(IF($C$4="H",INDEX(Mortalidad_H!$B$3:$BX$113,MATCH(B115,Mortalidad_H!$A$3:$A$113,0),MATCH(MIN(C115,2100),Mortalidad_H!$B$2:$BX$2,0)),INDEX(Mortalidad_M!$B$3:$BX$93,MATCH(B115,Mortalidad_M!$A$3:$A$93,0),MATCH(MIN(C115,2100),Mortalidad_M!$B$2:$BX$2,0))),1)</f>
        <v/>
      </c>
      <c r="E115" s="15">
        <f>1-(1-D115)^(1/12)</f>
        <v/>
      </c>
      <c r="F115" s="16">
        <f>F114*(1-E114)</f>
        <v/>
      </c>
      <c r="G115" s="16">
        <f>1/(1+$C$7)^(A115/12)</f>
        <v/>
      </c>
      <c r="H115" s="16">
        <f>F115*G115</f>
        <v/>
      </c>
    </row>
    <row r="116">
      <c r="A116" s="14" t="n">
        <v>104</v>
      </c>
      <c r="B116">
        <f>$C$5+INT(A116/12)</f>
        <v/>
      </c>
      <c r="C116">
        <f>Parametros!$B$5+INT(A116/12)</f>
        <v/>
      </c>
      <c r="D116" s="15">
        <f>IFERROR(IF($C$4="H",INDEX(Mortalidad_H!$B$3:$BX$113,MATCH(B116,Mortalidad_H!$A$3:$A$113,0),MATCH(MIN(C116,2100),Mortalidad_H!$B$2:$BX$2,0)),INDEX(Mortalidad_M!$B$3:$BX$93,MATCH(B116,Mortalidad_M!$A$3:$A$93,0),MATCH(MIN(C116,2100),Mortalidad_M!$B$2:$BX$2,0))),1)</f>
        <v/>
      </c>
      <c r="E116" s="15">
        <f>1-(1-D116)^(1/12)</f>
        <v/>
      </c>
      <c r="F116" s="16">
        <f>F115*(1-E115)</f>
        <v/>
      </c>
      <c r="G116" s="16">
        <f>1/(1+$C$7)^(A116/12)</f>
        <v/>
      </c>
      <c r="H116" s="16">
        <f>F116*G116</f>
        <v/>
      </c>
    </row>
    <row r="117">
      <c r="A117" s="14" t="n">
        <v>105</v>
      </c>
      <c r="B117">
        <f>$C$5+INT(A117/12)</f>
        <v/>
      </c>
      <c r="C117">
        <f>Parametros!$B$5+INT(A117/12)</f>
        <v/>
      </c>
      <c r="D117" s="15">
        <f>IFERROR(IF($C$4="H",INDEX(Mortalidad_H!$B$3:$BX$113,MATCH(B117,Mortalidad_H!$A$3:$A$113,0),MATCH(MIN(C117,2100),Mortalidad_H!$B$2:$BX$2,0)),INDEX(Mortalidad_M!$B$3:$BX$93,MATCH(B117,Mortalidad_M!$A$3:$A$93,0),MATCH(MIN(C117,2100),Mortalidad_M!$B$2:$BX$2,0))),1)</f>
        <v/>
      </c>
      <c r="E117" s="15">
        <f>1-(1-D117)^(1/12)</f>
        <v/>
      </c>
      <c r="F117" s="16">
        <f>F116*(1-E116)</f>
        <v/>
      </c>
      <c r="G117" s="16">
        <f>1/(1+$C$7)^(A117/12)</f>
        <v/>
      </c>
      <c r="H117" s="16">
        <f>F117*G117</f>
        <v/>
      </c>
    </row>
    <row r="118">
      <c r="A118" s="14" t="n">
        <v>106</v>
      </c>
      <c r="B118">
        <f>$C$5+INT(A118/12)</f>
        <v/>
      </c>
      <c r="C118">
        <f>Parametros!$B$5+INT(A118/12)</f>
        <v/>
      </c>
      <c r="D118" s="15">
        <f>IFERROR(IF($C$4="H",INDEX(Mortalidad_H!$B$3:$BX$113,MATCH(B118,Mortalidad_H!$A$3:$A$113,0),MATCH(MIN(C118,2100),Mortalidad_H!$B$2:$BX$2,0)),INDEX(Mortalidad_M!$B$3:$BX$93,MATCH(B118,Mortalidad_M!$A$3:$A$93,0),MATCH(MIN(C118,2100),Mortalidad_M!$B$2:$BX$2,0))),1)</f>
        <v/>
      </c>
      <c r="E118" s="15">
        <f>1-(1-D118)^(1/12)</f>
        <v/>
      </c>
      <c r="F118" s="16">
        <f>F117*(1-E117)</f>
        <v/>
      </c>
      <c r="G118" s="16">
        <f>1/(1+$C$7)^(A118/12)</f>
        <v/>
      </c>
      <c r="H118" s="16">
        <f>F118*G118</f>
        <v/>
      </c>
    </row>
    <row r="119">
      <c r="A119" s="14" t="n">
        <v>107</v>
      </c>
      <c r="B119">
        <f>$C$5+INT(A119/12)</f>
        <v/>
      </c>
      <c r="C119">
        <f>Parametros!$B$5+INT(A119/12)</f>
        <v/>
      </c>
      <c r="D119" s="15">
        <f>IFERROR(IF($C$4="H",INDEX(Mortalidad_H!$B$3:$BX$113,MATCH(B119,Mortalidad_H!$A$3:$A$113,0),MATCH(MIN(C119,2100),Mortalidad_H!$B$2:$BX$2,0)),INDEX(Mortalidad_M!$B$3:$BX$93,MATCH(B119,Mortalidad_M!$A$3:$A$93,0),MATCH(MIN(C119,2100),Mortalidad_M!$B$2:$BX$2,0))),1)</f>
        <v/>
      </c>
      <c r="E119" s="15">
        <f>1-(1-D119)^(1/12)</f>
        <v/>
      </c>
      <c r="F119" s="16">
        <f>F118*(1-E118)</f>
        <v/>
      </c>
      <c r="G119" s="16">
        <f>1/(1+$C$7)^(A119/12)</f>
        <v/>
      </c>
      <c r="H119" s="16">
        <f>F119*G119</f>
        <v/>
      </c>
    </row>
    <row r="120">
      <c r="A120" s="14" t="n">
        <v>108</v>
      </c>
      <c r="B120">
        <f>$C$5+INT(A120/12)</f>
        <v/>
      </c>
      <c r="C120">
        <f>Parametros!$B$5+INT(A120/12)</f>
        <v/>
      </c>
      <c r="D120" s="15">
        <f>IFERROR(IF($C$4="H",INDEX(Mortalidad_H!$B$3:$BX$113,MATCH(B120,Mortalidad_H!$A$3:$A$113,0),MATCH(MIN(C120,2100),Mortalidad_H!$B$2:$BX$2,0)),INDEX(Mortalidad_M!$B$3:$BX$93,MATCH(B120,Mortalidad_M!$A$3:$A$93,0),MATCH(MIN(C120,2100),Mortalidad_M!$B$2:$BX$2,0))),1)</f>
        <v/>
      </c>
      <c r="E120" s="15">
        <f>1-(1-D120)^(1/12)</f>
        <v/>
      </c>
      <c r="F120" s="16">
        <f>F119*(1-E119)</f>
        <v/>
      </c>
      <c r="G120" s="16">
        <f>1/(1+$C$7)^(A120/12)</f>
        <v/>
      </c>
      <c r="H120" s="16">
        <f>F120*G120</f>
        <v/>
      </c>
    </row>
    <row r="121">
      <c r="A121" s="14" t="n">
        <v>109</v>
      </c>
      <c r="B121">
        <f>$C$5+INT(A121/12)</f>
        <v/>
      </c>
      <c r="C121">
        <f>Parametros!$B$5+INT(A121/12)</f>
        <v/>
      </c>
      <c r="D121" s="15">
        <f>IFERROR(IF($C$4="H",INDEX(Mortalidad_H!$B$3:$BX$113,MATCH(B121,Mortalidad_H!$A$3:$A$113,0),MATCH(MIN(C121,2100),Mortalidad_H!$B$2:$BX$2,0)),INDEX(Mortalidad_M!$B$3:$BX$93,MATCH(B121,Mortalidad_M!$A$3:$A$93,0),MATCH(MIN(C121,2100),Mortalidad_M!$B$2:$BX$2,0))),1)</f>
        <v/>
      </c>
      <c r="E121" s="15">
        <f>1-(1-D121)^(1/12)</f>
        <v/>
      </c>
      <c r="F121" s="16">
        <f>F120*(1-E120)</f>
        <v/>
      </c>
      <c r="G121" s="16">
        <f>1/(1+$C$7)^(A121/12)</f>
        <v/>
      </c>
      <c r="H121" s="16">
        <f>F121*G121</f>
        <v/>
      </c>
    </row>
    <row r="122">
      <c r="A122" s="14" t="n">
        <v>110</v>
      </c>
      <c r="B122">
        <f>$C$5+INT(A122/12)</f>
        <v/>
      </c>
      <c r="C122">
        <f>Parametros!$B$5+INT(A122/12)</f>
        <v/>
      </c>
      <c r="D122" s="15">
        <f>IFERROR(IF($C$4="H",INDEX(Mortalidad_H!$B$3:$BX$113,MATCH(B122,Mortalidad_H!$A$3:$A$113,0),MATCH(MIN(C122,2100),Mortalidad_H!$B$2:$BX$2,0)),INDEX(Mortalidad_M!$B$3:$BX$93,MATCH(B122,Mortalidad_M!$A$3:$A$93,0),MATCH(MIN(C122,2100),Mortalidad_M!$B$2:$BX$2,0))),1)</f>
        <v/>
      </c>
      <c r="E122" s="15">
        <f>1-(1-D122)^(1/12)</f>
        <v/>
      </c>
      <c r="F122" s="16">
        <f>F121*(1-E121)</f>
        <v/>
      </c>
      <c r="G122" s="16">
        <f>1/(1+$C$7)^(A122/12)</f>
        <v/>
      </c>
      <c r="H122" s="16">
        <f>F122*G122</f>
        <v/>
      </c>
    </row>
    <row r="123">
      <c r="A123" s="14" t="n">
        <v>111</v>
      </c>
      <c r="B123">
        <f>$C$5+INT(A123/12)</f>
        <v/>
      </c>
      <c r="C123">
        <f>Parametros!$B$5+INT(A123/12)</f>
        <v/>
      </c>
      <c r="D123" s="15">
        <f>IFERROR(IF($C$4="H",INDEX(Mortalidad_H!$B$3:$BX$113,MATCH(B123,Mortalidad_H!$A$3:$A$113,0),MATCH(MIN(C123,2100),Mortalidad_H!$B$2:$BX$2,0)),INDEX(Mortalidad_M!$B$3:$BX$93,MATCH(B123,Mortalidad_M!$A$3:$A$93,0),MATCH(MIN(C123,2100),Mortalidad_M!$B$2:$BX$2,0))),1)</f>
        <v/>
      </c>
      <c r="E123" s="15">
        <f>1-(1-D123)^(1/12)</f>
        <v/>
      </c>
      <c r="F123" s="16">
        <f>F122*(1-E122)</f>
        <v/>
      </c>
      <c r="G123" s="16">
        <f>1/(1+$C$7)^(A123/12)</f>
        <v/>
      </c>
      <c r="H123" s="16">
        <f>F123*G123</f>
        <v/>
      </c>
    </row>
    <row r="124">
      <c r="A124" s="14" t="n">
        <v>112</v>
      </c>
      <c r="B124">
        <f>$C$5+INT(A124/12)</f>
        <v/>
      </c>
      <c r="C124">
        <f>Parametros!$B$5+INT(A124/12)</f>
        <v/>
      </c>
      <c r="D124" s="15">
        <f>IFERROR(IF($C$4="H",INDEX(Mortalidad_H!$B$3:$BX$113,MATCH(B124,Mortalidad_H!$A$3:$A$113,0),MATCH(MIN(C124,2100),Mortalidad_H!$B$2:$BX$2,0)),INDEX(Mortalidad_M!$B$3:$BX$93,MATCH(B124,Mortalidad_M!$A$3:$A$93,0),MATCH(MIN(C124,2100),Mortalidad_M!$B$2:$BX$2,0))),1)</f>
        <v/>
      </c>
      <c r="E124" s="15">
        <f>1-(1-D124)^(1/12)</f>
        <v/>
      </c>
      <c r="F124" s="16">
        <f>F123*(1-E123)</f>
        <v/>
      </c>
      <c r="G124" s="16">
        <f>1/(1+$C$7)^(A124/12)</f>
        <v/>
      </c>
      <c r="H124" s="16">
        <f>F124*G124</f>
        <v/>
      </c>
    </row>
    <row r="125">
      <c r="A125" s="14" t="n">
        <v>113</v>
      </c>
      <c r="B125">
        <f>$C$5+INT(A125/12)</f>
        <v/>
      </c>
      <c r="C125">
        <f>Parametros!$B$5+INT(A125/12)</f>
        <v/>
      </c>
      <c r="D125" s="15">
        <f>IFERROR(IF($C$4="H",INDEX(Mortalidad_H!$B$3:$BX$113,MATCH(B125,Mortalidad_H!$A$3:$A$113,0),MATCH(MIN(C125,2100),Mortalidad_H!$B$2:$BX$2,0)),INDEX(Mortalidad_M!$B$3:$BX$93,MATCH(B125,Mortalidad_M!$A$3:$A$93,0),MATCH(MIN(C125,2100),Mortalidad_M!$B$2:$BX$2,0))),1)</f>
        <v/>
      </c>
      <c r="E125" s="15">
        <f>1-(1-D125)^(1/12)</f>
        <v/>
      </c>
      <c r="F125" s="16">
        <f>F124*(1-E124)</f>
        <v/>
      </c>
      <c r="G125" s="16">
        <f>1/(1+$C$7)^(A125/12)</f>
        <v/>
      </c>
      <c r="H125" s="16">
        <f>F125*G125</f>
        <v/>
      </c>
    </row>
    <row r="126">
      <c r="A126" s="14" t="n">
        <v>114</v>
      </c>
      <c r="B126">
        <f>$C$5+INT(A126/12)</f>
        <v/>
      </c>
      <c r="C126">
        <f>Parametros!$B$5+INT(A126/12)</f>
        <v/>
      </c>
      <c r="D126" s="15">
        <f>IFERROR(IF($C$4="H",INDEX(Mortalidad_H!$B$3:$BX$113,MATCH(B126,Mortalidad_H!$A$3:$A$113,0),MATCH(MIN(C126,2100),Mortalidad_H!$B$2:$BX$2,0)),INDEX(Mortalidad_M!$B$3:$BX$93,MATCH(B126,Mortalidad_M!$A$3:$A$93,0),MATCH(MIN(C126,2100),Mortalidad_M!$B$2:$BX$2,0))),1)</f>
        <v/>
      </c>
      <c r="E126" s="15">
        <f>1-(1-D126)^(1/12)</f>
        <v/>
      </c>
      <c r="F126" s="16">
        <f>F125*(1-E125)</f>
        <v/>
      </c>
      <c r="G126" s="16">
        <f>1/(1+$C$7)^(A126/12)</f>
        <v/>
      </c>
      <c r="H126" s="16">
        <f>F126*G126</f>
        <v/>
      </c>
    </row>
    <row r="127">
      <c r="A127" s="14" t="n">
        <v>115</v>
      </c>
      <c r="B127">
        <f>$C$5+INT(A127/12)</f>
        <v/>
      </c>
      <c r="C127">
        <f>Parametros!$B$5+INT(A127/12)</f>
        <v/>
      </c>
      <c r="D127" s="15">
        <f>IFERROR(IF($C$4="H",INDEX(Mortalidad_H!$B$3:$BX$113,MATCH(B127,Mortalidad_H!$A$3:$A$113,0),MATCH(MIN(C127,2100),Mortalidad_H!$B$2:$BX$2,0)),INDEX(Mortalidad_M!$B$3:$BX$93,MATCH(B127,Mortalidad_M!$A$3:$A$93,0),MATCH(MIN(C127,2100),Mortalidad_M!$B$2:$BX$2,0))),1)</f>
        <v/>
      </c>
      <c r="E127" s="15">
        <f>1-(1-D127)^(1/12)</f>
        <v/>
      </c>
      <c r="F127" s="16">
        <f>F126*(1-E126)</f>
        <v/>
      </c>
      <c r="G127" s="16">
        <f>1/(1+$C$7)^(A127/12)</f>
        <v/>
      </c>
      <c r="H127" s="16">
        <f>F127*G127</f>
        <v/>
      </c>
    </row>
    <row r="128">
      <c r="A128" s="14" t="n">
        <v>116</v>
      </c>
      <c r="B128">
        <f>$C$5+INT(A128/12)</f>
        <v/>
      </c>
      <c r="C128">
        <f>Parametros!$B$5+INT(A128/12)</f>
        <v/>
      </c>
      <c r="D128" s="15">
        <f>IFERROR(IF($C$4="H",INDEX(Mortalidad_H!$B$3:$BX$113,MATCH(B128,Mortalidad_H!$A$3:$A$113,0),MATCH(MIN(C128,2100),Mortalidad_H!$B$2:$BX$2,0)),INDEX(Mortalidad_M!$B$3:$BX$93,MATCH(B128,Mortalidad_M!$A$3:$A$93,0),MATCH(MIN(C128,2100),Mortalidad_M!$B$2:$BX$2,0))),1)</f>
        <v/>
      </c>
      <c r="E128" s="15">
        <f>1-(1-D128)^(1/12)</f>
        <v/>
      </c>
      <c r="F128" s="16">
        <f>F127*(1-E127)</f>
        <v/>
      </c>
      <c r="G128" s="16">
        <f>1/(1+$C$7)^(A128/12)</f>
        <v/>
      </c>
      <c r="H128" s="16">
        <f>F128*G128</f>
        <v/>
      </c>
    </row>
    <row r="129">
      <c r="A129" s="14" t="n">
        <v>117</v>
      </c>
      <c r="B129">
        <f>$C$5+INT(A129/12)</f>
        <v/>
      </c>
      <c r="C129">
        <f>Parametros!$B$5+INT(A129/12)</f>
        <v/>
      </c>
      <c r="D129" s="15">
        <f>IFERROR(IF($C$4="H",INDEX(Mortalidad_H!$B$3:$BX$113,MATCH(B129,Mortalidad_H!$A$3:$A$113,0),MATCH(MIN(C129,2100),Mortalidad_H!$B$2:$BX$2,0)),INDEX(Mortalidad_M!$B$3:$BX$93,MATCH(B129,Mortalidad_M!$A$3:$A$93,0),MATCH(MIN(C129,2100),Mortalidad_M!$B$2:$BX$2,0))),1)</f>
        <v/>
      </c>
      <c r="E129" s="15">
        <f>1-(1-D129)^(1/12)</f>
        <v/>
      </c>
      <c r="F129" s="16">
        <f>F128*(1-E128)</f>
        <v/>
      </c>
      <c r="G129" s="16">
        <f>1/(1+$C$7)^(A129/12)</f>
        <v/>
      </c>
      <c r="H129" s="16">
        <f>F129*G129</f>
        <v/>
      </c>
    </row>
    <row r="130">
      <c r="A130" s="14" t="n">
        <v>118</v>
      </c>
      <c r="B130">
        <f>$C$5+INT(A130/12)</f>
        <v/>
      </c>
      <c r="C130">
        <f>Parametros!$B$5+INT(A130/12)</f>
        <v/>
      </c>
      <c r="D130" s="15">
        <f>IFERROR(IF($C$4="H",INDEX(Mortalidad_H!$B$3:$BX$113,MATCH(B130,Mortalidad_H!$A$3:$A$113,0),MATCH(MIN(C130,2100),Mortalidad_H!$B$2:$BX$2,0)),INDEX(Mortalidad_M!$B$3:$BX$93,MATCH(B130,Mortalidad_M!$A$3:$A$93,0),MATCH(MIN(C130,2100),Mortalidad_M!$B$2:$BX$2,0))),1)</f>
        <v/>
      </c>
      <c r="E130" s="15">
        <f>1-(1-D130)^(1/12)</f>
        <v/>
      </c>
      <c r="F130" s="16">
        <f>F129*(1-E129)</f>
        <v/>
      </c>
      <c r="G130" s="16">
        <f>1/(1+$C$7)^(A130/12)</f>
        <v/>
      </c>
      <c r="H130" s="16">
        <f>F130*G130</f>
        <v/>
      </c>
    </row>
    <row r="131">
      <c r="A131" s="14" t="n">
        <v>119</v>
      </c>
      <c r="B131">
        <f>$C$5+INT(A131/12)</f>
        <v/>
      </c>
      <c r="C131">
        <f>Parametros!$B$5+INT(A131/12)</f>
        <v/>
      </c>
      <c r="D131" s="15">
        <f>IFERROR(IF($C$4="H",INDEX(Mortalidad_H!$B$3:$BX$113,MATCH(B131,Mortalidad_H!$A$3:$A$113,0),MATCH(MIN(C131,2100),Mortalidad_H!$B$2:$BX$2,0)),INDEX(Mortalidad_M!$B$3:$BX$93,MATCH(B131,Mortalidad_M!$A$3:$A$93,0),MATCH(MIN(C131,2100),Mortalidad_M!$B$2:$BX$2,0))),1)</f>
        <v/>
      </c>
      <c r="E131" s="15">
        <f>1-(1-D131)^(1/12)</f>
        <v/>
      </c>
      <c r="F131" s="16">
        <f>F130*(1-E130)</f>
        <v/>
      </c>
      <c r="G131" s="16">
        <f>1/(1+$C$7)^(A131/12)</f>
        <v/>
      </c>
      <c r="H131" s="16">
        <f>F131*G131</f>
        <v/>
      </c>
    </row>
    <row r="132">
      <c r="A132" s="14" t="n">
        <v>120</v>
      </c>
      <c r="B132">
        <f>$C$5+INT(A132/12)</f>
        <v/>
      </c>
      <c r="C132">
        <f>Parametros!$B$5+INT(A132/12)</f>
        <v/>
      </c>
      <c r="D132" s="15">
        <f>IFERROR(IF($C$4="H",INDEX(Mortalidad_H!$B$3:$BX$113,MATCH(B132,Mortalidad_H!$A$3:$A$113,0),MATCH(MIN(C132,2100),Mortalidad_H!$B$2:$BX$2,0)),INDEX(Mortalidad_M!$B$3:$BX$93,MATCH(B132,Mortalidad_M!$A$3:$A$93,0),MATCH(MIN(C132,2100),Mortalidad_M!$B$2:$BX$2,0))),1)</f>
        <v/>
      </c>
      <c r="E132" s="15">
        <f>1-(1-D132)^(1/12)</f>
        <v/>
      </c>
      <c r="F132" s="16">
        <f>F131*(1-E131)</f>
        <v/>
      </c>
      <c r="G132" s="16">
        <f>1/(1+$C$7)^(A132/12)</f>
        <v/>
      </c>
      <c r="H132" s="16">
        <f>F132*G132</f>
        <v/>
      </c>
    </row>
    <row r="133">
      <c r="A133" s="14" t="n">
        <v>121</v>
      </c>
      <c r="B133">
        <f>$C$5+INT(A133/12)</f>
        <v/>
      </c>
      <c r="C133">
        <f>Parametros!$B$5+INT(A133/12)</f>
        <v/>
      </c>
      <c r="D133" s="15">
        <f>IFERROR(IF($C$4="H",INDEX(Mortalidad_H!$B$3:$BX$113,MATCH(B133,Mortalidad_H!$A$3:$A$113,0),MATCH(MIN(C133,2100),Mortalidad_H!$B$2:$BX$2,0)),INDEX(Mortalidad_M!$B$3:$BX$93,MATCH(B133,Mortalidad_M!$A$3:$A$93,0),MATCH(MIN(C133,2100),Mortalidad_M!$B$2:$BX$2,0))),1)</f>
        <v/>
      </c>
      <c r="E133" s="15">
        <f>1-(1-D133)^(1/12)</f>
        <v/>
      </c>
      <c r="F133" s="16">
        <f>F132*(1-E132)</f>
        <v/>
      </c>
      <c r="G133" s="16">
        <f>1/(1+$C$7)^(A133/12)</f>
        <v/>
      </c>
      <c r="H133" s="16">
        <f>F133*G133</f>
        <v/>
      </c>
    </row>
    <row r="134">
      <c r="A134" s="14" t="n">
        <v>122</v>
      </c>
      <c r="B134">
        <f>$C$5+INT(A134/12)</f>
        <v/>
      </c>
      <c r="C134">
        <f>Parametros!$B$5+INT(A134/12)</f>
        <v/>
      </c>
      <c r="D134" s="15">
        <f>IFERROR(IF($C$4="H",INDEX(Mortalidad_H!$B$3:$BX$113,MATCH(B134,Mortalidad_H!$A$3:$A$113,0),MATCH(MIN(C134,2100),Mortalidad_H!$B$2:$BX$2,0)),INDEX(Mortalidad_M!$B$3:$BX$93,MATCH(B134,Mortalidad_M!$A$3:$A$93,0),MATCH(MIN(C134,2100),Mortalidad_M!$B$2:$BX$2,0))),1)</f>
        <v/>
      </c>
      <c r="E134" s="15">
        <f>1-(1-D134)^(1/12)</f>
        <v/>
      </c>
      <c r="F134" s="16">
        <f>F133*(1-E133)</f>
        <v/>
      </c>
      <c r="G134" s="16">
        <f>1/(1+$C$7)^(A134/12)</f>
        <v/>
      </c>
      <c r="H134" s="16">
        <f>F134*G134</f>
        <v/>
      </c>
    </row>
    <row r="135">
      <c r="A135" s="14" t="n">
        <v>123</v>
      </c>
      <c r="B135">
        <f>$C$5+INT(A135/12)</f>
        <v/>
      </c>
      <c r="C135">
        <f>Parametros!$B$5+INT(A135/12)</f>
        <v/>
      </c>
      <c r="D135" s="15">
        <f>IFERROR(IF($C$4="H",INDEX(Mortalidad_H!$B$3:$BX$113,MATCH(B135,Mortalidad_H!$A$3:$A$113,0),MATCH(MIN(C135,2100),Mortalidad_H!$B$2:$BX$2,0)),INDEX(Mortalidad_M!$B$3:$BX$93,MATCH(B135,Mortalidad_M!$A$3:$A$93,0),MATCH(MIN(C135,2100),Mortalidad_M!$B$2:$BX$2,0))),1)</f>
        <v/>
      </c>
      <c r="E135" s="15">
        <f>1-(1-D135)^(1/12)</f>
        <v/>
      </c>
      <c r="F135" s="16">
        <f>F134*(1-E134)</f>
        <v/>
      </c>
      <c r="G135" s="16">
        <f>1/(1+$C$7)^(A135/12)</f>
        <v/>
      </c>
      <c r="H135" s="16">
        <f>F135*G135</f>
        <v/>
      </c>
    </row>
    <row r="136">
      <c r="A136" s="14" t="n">
        <v>124</v>
      </c>
      <c r="B136">
        <f>$C$5+INT(A136/12)</f>
        <v/>
      </c>
      <c r="C136">
        <f>Parametros!$B$5+INT(A136/12)</f>
        <v/>
      </c>
      <c r="D136" s="15">
        <f>IFERROR(IF($C$4="H",INDEX(Mortalidad_H!$B$3:$BX$113,MATCH(B136,Mortalidad_H!$A$3:$A$113,0),MATCH(MIN(C136,2100),Mortalidad_H!$B$2:$BX$2,0)),INDEX(Mortalidad_M!$B$3:$BX$93,MATCH(B136,Mortalidad_M!$A$3:$A$93,0),MATCH(MIN(C136,2100),Mortalidad_M!$B$2:$BX$2,0))),1)</f>
        <v/>
      </c>
      <c r="E136" s="15">
        <f>1-(1-D136)^(1/12)</f>
        <v/>
      </c>
      <c r="F136" s="16">
        <f>F135*(1-E135)</f>
        <v/>
      </c>
      <c r="G136" s="16">
        <f>1/(1+$C$7)^(A136/12)</f>
        <v/>
      </c>
      <c r="H136" s="16">
        <f>F136*G136</f>
        <v/>
      </c>
    </row>
    <row r="137">
      <c r="A137" s="14" t="n">
        <v>125</v>
      </c>
      <c r="B137">
        <f>$C$5+INT(A137/12)</f>
        <v/>
      </c>
      <c r="C137">
        <f>Parametros!$B$5+INT(A137/12)</f>
        <v/>
      </c>
      <c r="D137" s="15">
        <f>IFERROR(IF($C$4="H",INDEX(Mortalidad_H!$B$3:$BX$113,MATCH(B137,Mortalidad_H!$A$3:$A$113,0),MATCH(MIN(C137,2100),Mortalidad_H!$B$2:$BX$2,0)),INDEX(Mortalidad_M!$B$3:$BX$93,MATCH(B137,Mortalidad_M!$A$3:$A$93,0),MATCH(MIN(C137,2100),Mortalidad_M!$B$2:$BX$2,0))),1)</f>
        <v/>
      </c>
      <c r="E137" s="15">
        <f>1-(1-D137)^(1/12)</f>
        <v/>
      </c>
      <c r="F137" s="16">
        <f>F136*(1-E136)</f>
        <v/>
      </c>
      <c r="G137" s="16">
        <f>1/(1+$C$7)^(A137/12)</f>
        <v/>
      </c>
      <c r="H137" s="16">
        <f>F137*G137</f>
        <v/>
      </c>
    </row>
    <row r="138">
      <c r="A138" s="14" t="n">
        <v>126</v>
      </c>
      <c r="B138">
        <f>$C$5+INT(A138/12)</f>
        <v/>
      </c>
      <c r="C138">
        <f>Parametros!$B$5+INT(A138/12)</f>
        <v/>
      </c>
      <c r="D138" s="15">
        <f>IFERROR(IF($C$4="H",INDEX(Mortalidad_H!$B$3:$BX$113,MATCH(B138,Mortalidad_H!$A$3:$A$113,0),MATCH(MIN(C138,2100),Mortalidad_H!$B$2:$BX$2,0)),INDEX(Mortalidad_M!$B$3:$BX$93,MATCH(B138,Mortalidad_M!$A$3:$A$93,0),MATCH(MIN(C138,2100),Mortalidad_M!$B$2:$BX$2,0))),1)</f>
        <v/>
      </c>
      <c r="E138" s="15">
        <f>1-(1-D138)^(1/12)</f>
        <v/>
      </c>
      <c r="F138" s="16">
        <f>F137*(1-E137)</f>
        <v/>
      </c>
      <c r="G138" s="16">
        <f>1/(1+$C$7)^(A138/12)</f>
        <v/>
      </c>
      <c r="H138" s="16">
        <f>F138*G138</f>
        <v/>
      </c>
    </row>
    <row r="139">
      <c r="A139" s="14" t="n">
        <v>127</v>
      </c>
      <c r="B139">
        <f>$C$5+INT(A139/12)</f>
        <v/>
      </c>
      <c r="C139">
        <f>Parametros!$B$5+INT(A139/12)</f>
        <v/>
      </c>
      <c r="D139" s="15">
        <f>IFERROR(IF($C$4="H",INDEX(Mortalidad_H!$B$3:$BX$113,MATCH(B139,Mortalidad_H!$A$3:$A$113,0),MATCH(MIN(C139,2100),Mortalidad_H!$B$2:$BX$2,0)),INDEX(Mortalidad_M!$B$3:$BX$93,MATCH(B139,Mortalidad_M!$A$3:$A$93,0),MATCH(MIN(C139,2100),Mortalidad_M!$B$2:$BX$2,0))),1)</f>
        <v/>
      </c>
      <c r="E139" s="15">
        <f>1-(1-D139)^(1/12)</f>
        <v/>
      </c>
      <c r="F139" s="16">
        <f>F138*(1-E138)</f>
        <v/>
      </c>
      <c r="G139" s="16">
        <f>1/(1+$C$7)^(A139/12)</f>
        <v/>
      </c>
      <c r="H139" s="16">
        <f>F139*G139</f>
        <v/>
      </c>
    </row>
    <row r="140">
      <c r="A140" s="14" t="n">
        <v>128</v>
      </c>
      <c r="B140">
        <f>$C$5+INT(A140/12)</f>
        <v/>
      </c>
      <c r="C140">
        <f>Parametros!$B$5+INT(A140/12)</f>
        <v/>
      </c>
      <c r="D140" s="15">
        <f>IFERROR(IF($C$4="H",INDEX(Mortalidad_H!$B$3:$BX$113,MATCH(B140,Mortalidad_H!$A$3:$A$113,0),MATCH(MIN(C140,2100),Mortalidad_H!$B$2:$BX$2,0)),INDEX(Mortalidad_M!$B$3:$BX$93,MATCH(B140,Mortalidad_M!$A$3:$A$93,0),MATCH(MIN(C140,2100),Mortalidad_M!$B$2:$BX$2,0))),1)</f>
        <v/>
      </c>
      <c r="E140" s="15">
        <f>1-(1-D140)^(1/12)</f>
        <v/>
      </c>
      <c r="F140" s="16">
        <f>F139*(1-E139)</f>
        <v/>
      </c>
      <c r="G140" s="16">
        <f>1/(1+$C$7)^(A140/12)</f>
        <v/>
      </c>
      <c r="H140" s="16">
        <f>F140*G140</f>
        <v/>
      </c>
    </row>
    <row r="141">
      <c r="A141" s="14" t="n">
        <v>129</v>
      </c>
      <c r="B141">
        <f>$C$5+INT(A141/12)</f>
        <v/>
      </c>
      <c r="C141">
        <f>Parametros!$B$5+INT(A141/12)</f>
        <v/>
      </c>
      <c r="D141" s="15">
        <f>IFERROR(IF($C$4="H",INDEX(Mortalidad_H!$B$3:$BX$113,MATCH(B141,Mortalidad_H!$A$3:$A$113,0),MATCH(MIN(C141,2100),Mortalidad_H!$B$2:$BX$2,0)),INDEX(Mortalidad_M!$B$3:$BX$93,MATCH(B141,Mortalidad_M!$A$3:$A$93,0),MATCH(MIN(C141,2100),Mortalidad_M!$B$2:$BX$2,0))),1)</f>
        <v/>
      </c>
      <c r="E141" s="15">
        <f>1-(1-D141)^(1/12)</f>
        <v/>
      </c>
      <c r="F141" s="16">
        <f>F140*(1-E140)</f>
        <v/>
      </c>
      <c r="G141" s="16">
        <f>1/(1+$C$7)^(A141/12)</f>
        <v/>
      </c>
      <c r="H141" s="16">
        <f>F141*G141</f>
        <v/>
      </c>
    </row>
    <row r="142">
      <c r="A142" s="14" t="n">
        <v>130</v>
      </c>
      <c r="B142">
        <f>$C$5+INT(A142/12)</f>
        <v/>
      </c>
      <c r="C142">
        <f>Parametros!$B$5+INT(A142/12)</f>
        <v/>
      </c>
      <c r="D142" s="15">
        <f>IFERROR(IF($C$4="H",INDEX(Mortalidad_H!$B$3:$BX$113,MATCH(B142,Mortalidad_H!$A$3:$A$113,0),MATCH(MIN(C142,2100),Mortalidad_H!$B$2:$BX$2,0)),INDEX(Mortalidad_M!$B$3:$BX$93,MATCH(B142,Mortalidad_M!$A$3:$A$93,0),MATCH(MIN(C142,2100),Mortalidad_M!$B$2:$BX$2,0))),1)</f>
        <v/>
      </c>
      <c r="E142" s="15">
        <f>1-(1-D142)^(1/12)</f>
        <v/>
      </c>
      <c r="F142" s="16">
        <f>F141*(1-E141)</f>
        <v/>
      </c>
      <c r="G142" s="16">
        <f>1/(1+$C$7)^(A142/12)</f>
        <v/>
      </c>
      <c r="H142" s="16">
        <f>F142*G142</f>
        <v/>
      </c>
    </row>
    <row r="143">
      <c r="A143" s="14" t="n">
        <v>131</v>
      </c>
      <c r="B143">
        <f>$C$5+INT(A143/12)</f>
        <v/>
      </c>
      <c r="C143">
        <f>Parametros!$B$5+INT(A143/12)</f>
        <v/>
      </c>
      <c r="D143" s="15">
        <f>IFERROR(IF($C$4="H",INDEX(Mortalidad_H!$B$3:$BX$113,MATCH(B143,Mortalidad_H!$A$3:$A$113,0),MATCH(MIN(C143,2100),Mortalidad_H!$B$2:$BX$2,0)),INDEX(Mortalidad_M!$B$3:$BX$93,MATCH(B143,Mortalidad_M!$A$3:$A$93,0),MATCH(MIN(C143,2100),Mortalidad_M!$B$2:$BX$2,0))),1)</f>
        <v/>
      </c>
      <c r="E143" s="15">
        <f>1-(1-D143)^(1/12)</f>
        <v/>
      </c>
      <c r="F143" s="16">
        <f>F142*(1-E142)</f>
        <v/>
      </c>
      <c r="G143" s="16">
        <f>1/(1+$C$7)^(A143/12)</f>
        <v/>
      </c>
      <c r="H143" s="16">
        <f>F143*G143</f>
        <v/>
      </c>
    </row>
    <row r="144">
      <c r="A144" s="14" t="n">
        <v>132</v>
      </c>
      <c r="B144">
        <f>$C$5+INT(A144/12)</f>
        <v/>
      </c>
      <c r="C144">
        <f>Parametros!$B$5+INT(A144/12)</f>
        <v/>
      </c>
      <c r="D144" s="15">
        <f>IFERROR(IF($C$4="H",INDEX(Mortalidad_H!$B$3:$BX$113,MATCH(B144,Mortalidad_H!$A$3:$A$113,0),MATCH(MIN(C144,2100),Mortalidad_H!$B$2:$BX$2,0)),INDEX(Mortalidad_M!$B$3:$BX$93,MATCH(B144,Mortalidad_M!$A$3:$A$93,0),MATCH(MIN(C144,2100),Mortalidad_M!$B$2:$BX$2,0))),1)</f>
        <v/>
      </c>
      <c r="E144" s="15">
        <f>1-(1-D144)^(1/12)</f>
        <v/>
      </c>
      <c r="F144" s="16">
        <f>F143*(1-E143)</f>
        <v/>
      </c>
      <c r="G144" s="16">
        <f>1/(1+$C$7)^(A144/12)</f>
        <v/>
      </c>
      <c r="H144" s="16">
        <f>F144*G144</f>
        <v/>
      </c>
    </row>
    <row r="145">
      <c r="A145" s="14" t="n">
        <v>133</v>
      </c>
      <c r="B145">
        <f>$C$5+INT(A145/12)</f>
        <v/>
      </c>
      <c r="C145">
        <f>Parametros!$B$5+INT(A145/12)</f>
        <v/>
      </c>
      <c r="D145" s="15">
        <f>IFERROR(IF($C$4="H",INDEX(Mortalidad_H!$B$3:$BX$113,MATCH(B145,Mortalidad_H!$A$3:$A$113,0),MATCH(MIN(C145,2100),Mortalidad_H!$B$2:$BX$2,0)),INDEX(Mortalidad_M!$B$3:$BX$93,MATCH(B145,Mortalidad_M!$A$3:$A$93,0),MATCH(MIN(C145,2100),Mortalidad_M!$B$2:$BX$2,0))),1)</f>
        <v/>
      </c>
      <c r="E145" s="15">
        <f>1-(1-D145)^(1/12)</f>
        <v/>
      </c>
      <c r="F145" s="16">
        <f>F144*(1-E144)</f>
        <v/>
      </c>
      <c r="G145" s="16">
        <f>1/(1+$C$7)^(A145/12)</f>
        <v/>
      </c>
      <c r="H145" s="16">
        <f>F145*G145</f>
        <v/>
      </c>
    </row>
    <row r="146">
      <c r="A146" s="14" t="n">
        <v>134</v>
      </c>
      <c r="B146">
        <f>$C$5+INT(A146/12)</f>
        <v/>
      </c>
      <c r="C146">
        <f>Parametros!$B$5+INT(A146/12)</f>
        <v/>
      </c>
      <c r="D146" s="15">
        <f>IFERROR(IF($C$4="H",INDEX(Mortalidad_H!$B$3:$BX$113,MATCH(B146,Mortalidad_H!$A$3:$A$113,0),MATCH(MIN(C146,2100),Mortalidad_H!$B$2:$BX$2,0)),INDEX(Mortalidad_M!$B$3:$BX$93,MATCH(B146,Mortalidad_M!$A$3:$A$93,0),MATCH(MIN(C146,2100),Mortalidad_M!$B$2:$BX$2,0))),1)</f>
        <v/>
      </c>
      <c r="E146" s="15">
        <f>1-(1-D146)^(1/12)</f>
        <v/>
      </c>
      <c r="F146" s="16">
        <f>F145*(1-E145)</f>
        <v/>
      </c>
      <c r="G146" s="16">
        <f>1/(1+$C$7)^(A146/12)</f>
        <v/>
      </c>
      <c r="H146" s="16">
        <f>F146*G146</f>
        <v/>
      </c>
    </row>
    <row r="147">
      <c r="A147" s="14" t="n">
        <v>135</v>
      </c>
      <c r="B147">
        <f>$C$5+INT(A147/12)</f>
        <v/>
      </c>
      <c r="C147">
        <f>Parametros!$B$5+INT(A147/12)</f>
        <v/>
      </c>
      <c r="D147" s="15">
        <f>IFERROR(IF($C$4="H",INDEX(Mortalidad_H!$B$3:$BX$113,MATCH(B147,Mortalidad_H!$A$3:$A$113,0),MATCH(MIN(C147,2100),Mortalidad_H!$B$2:$BX$2,0)),INDEX(Mortalidad_M!$B$3:$BX$93,MATCH(B147,Mortalidad_M!$A$3:$A$93,0),MATCH(MIN(C147,2100),Mortalidad_M!$B$2:$BX$2,0))),1)</f>
        <v/>
      </c>
      <c r="E147" s="15">
        <f>1-(1-D147)^(1/12)</f>
        <v/>
      </c>
      <c r="F147" s="16">
        <f>F146*(1-E146)</f>
        <v/>
      </c>
      <c r="G147" s="16">
        <f>1/(1+$C$7)^(A147/12)</f>
        <v/>
      </c>
      <c r="H147" s="16">
        <f>F147*G147</f>
        <v/>
      </c>
    </row>
    <row r="148">
      <c r="A148" s="14" t="n">
        <v>136</v>
      </c>
      <c r="B148">
        <f>$C$5+INT(A148/12)</f>
        <v/>
      </c>
      <c r="C148">
        <f>Parametros!$B$5+INT(A148/12)</f>
        <v/>
      </c>
      <c r="D148" s="15">
        <f>IFERROR(IF($C$4="H",INDEX(Mortalidad_H!$B$3:$BX$113,MATCH(B148,Mortalidad_H!$A$3:$A$113,0),MATCH(MIN(C148,2100),Mortalidad_H!$B$2:$BX$2,0)),INDEX(Mortalidad_M!$B$3:$BX$93,MATCH(B148,Mortalidad_M!$A$3:$A$93,0),MATCH(MIN(C148,2100),Mortalidad_M!$B$2:$BX$2,0))),1)</f>
        <v/>
      </c>
      <c r="E148" s="15">
        <f>1-(1-D148)^(1/12)</f>
        <v/>
      </c>
      <c r="F148" s="16">
        <f>F147*(1-E147)</f>
        <v/>
      </c>
      <c r="G148" s="16">
        <f>1/(1+$C$7)^(A148/12)</f>
        <v/>
      </c>
      <c r="H148" s="16">
        <f>F148*G148</f>
        <v/>
      </c>
    </row>
    <row r="149">
      <c r="A149" s="14" t="n">
        <v>137</v>
      </c>
      <c r="B149">
        <f>$C$5+INT(A149/12)</f>
        <v/>
      </c>
      <c r="C149">
        <f>Parametros!$B$5+INT(A149/12)</f>
        <v/>
      </c>
      <c r="D149" s="15">
        <f>IFERROR(IF($C$4="H",INDEX(Mortalidad_H!$B$3:$BX$113,MATCH(B149,Mortalidad_H!$A$3:$A$113,0),MATCH(MIN(C149,2100),Mortalidad_H!$B$2:$BX$2,0)),INDEX(Mortalidad_M!$B$3:$BX$93,MATCH(B149,Mortalidad_M!$A$3:$A$93,0),MATCH(MIN(C149,2100),Mortalidad_M!$B$2:$BX$2,0))),1)</f>
        <v/>
      </c>
      <c r="E149" s="15">
        <f>1-(1-D149)^(1/12)</f>
        <v/>
      </c>
      <c r="F149" s="16">
        <f>F148*(1-E148)</f>
        <v/>
      </c>
      <c r="G149" s="16">
        <f>1/(1+$C$7)^(A149/12)</f>
        <v/>
      </c>
      <c r="H149" s="16">
        <f>F149*G149</f>
        <v/>
      </c>
    </row>
    <row r="150">
      <c r="A150" s="14" t="n">
        <v>138</v>
      </c>
      <c r="B150">
        <f>$C$5+INT(A150/12)</f>
        <v/>
      </c>
      <c r="C150">
        <f>Parametros!$B$5+INT(A150/12)</f>
        <v/>
      </c>
      <c r="D150" s="15">
        <f>IFERROR(IF($C$4="H",INDEX(Mortalidad_H!$B$3:$BX$113,MATCH(B150,Mortalidad_H!$A$3:$A$113,0),MATCH(MIN(C150,2100),Mortalidad_H!$B$2:$BX$2,0)),INDEX(Mortalidad_M!$B$3:$BX$93,MATCH(B150,Mortalidad_M!$A$3:$A$93,0),MATCH(MIN(C150,2100),Mortalidad_M!$B$2:$BX$2,0))),1)</f>
        <v/>
      </c>
      <c r="E150" s="15">
        <f>1-(1-D150)^(1/12)</f>
        <v/>
      </c>
      <c r="F150" s="16">
        <f>F149*(1-E149)</f>
        <v/>
      </c>
      <c r="G150" s="16">
        <f>1/(1+$C$7)^(A150/12)</f>
        <v/>
      </c>
      <c r="H150" s="16">
        <f>F150*G150</f>
        <v/>
      </c>
    </row>
    <row r="151">
      <c r="A151" s="14" t="n">
        <v>139</v>
      </c>
      <c r="B151">
        <f>$C$5+INT(A151/12)</f>
        <v/>
      </c>
      <c r="C151">
        <f>Parametros!$B$5+INT(A151/12)</f>
        <v/>
      </c>
      <c r="D151" s="15">
        <f>IFERROR(IF($C$4="H",INDEX(Mortalidad_H!$B$3:$BX$113,MATCH(B151,Mortalidad_H!$A$3:$A$113,0),MATCH(MIN(C151,2100),Mortalidad_H!$B$2:$BX$2,0)),INDEX(Mortalidad_M!$B$3:$BX$93,MATCH(B151,Mortalidad_M!$A$3:$A$93,0),MATCH(MIN(C151,2100),Mortalidad_M!$B$2:$BX$2,0))),1)</f>
        <v/>
      </c>
      <c r="E151" s="15">
        <f>1-(1-D151)^(1/12)</f>
        <v/>
      </c>
      <c r="F151" s="16">
        <f>F150*(1-E150)</f>
        <v/>
      </c>
      <c r="G151" s="16">
        <f>1/(1+$C$7)^(A151/12)</f>
        <v/>
      </c>
      <c r="H151" s="16">
        <f>F151*G151</f>
        <v/>
      </c>
    </row>
    <row r="152">
      <c r="A152" s="14" t="n">
        <v>140</v>
      </c>
      <c r="B152">
        <f>$C$5+INT(A152/12)</f>
        <v/>
      </c>
      <c r="C152">
        <f>Parametros!$B$5+INT(A152/12)</f>
        <v/>
      </c>
      <c r="D152" s="15">
        <f>IFERROR(IF($C$4="H",INDEX(Mortalidad_H!$B$3:$BX$113,MATCH(B152,Mortalidad_H!$A$3:$A$113,0),MATCH(MIN(C152,2100),Mortalidad_H!$B$2:$BX$2,0)),INDEX(Mortalidad_M!$B$3:$BX$93,MATCH(B152,Mortalidad_M!$A$3:$A$93,0),MATCH(MIN(C152,2100),Mortalidad_M!$B$2:$BX$2,0))),1)</f>
        <v/>
      </c>
      <c r="E152" s="15">
        <f>1-(1-D152)^(1/12)</f>
        <v/>
      </c>
      <c r="F152" s="16">
        <f>F151*(1-E151)</f>
        <v/>
      </c>
      <c r="G152" s="16">
        <f>1/(1+$C$7)^(A152/12)</f>
        <v/>
      </c>
      <c r="H152" s="16">
        <f>F152*G152</f>
        <v/>
      </c>
    </row>
    <row r="153">
      <c r="A153" s="14" t="n">
        <v>141</v>
      </c>
      <c r="B153">
        <f>$C$5+INT(A153/12)</f>
        <v/>
      </c>
      <c r="C153">
        <f>Parametros!$B$5+INT(A153/12)</f>
        <v/>
      </c>
      <c r="D153" s="15">
        <f>IFERROR(IF($C$4="H",INDEX(Mortalidad_H!$B$3:$BX$113,MATCH(B153,Mortalidad_H!$A$3:$A$113,0),MATCH(MIN(C153,2100),Mortalidad_H!$B$2:$BX$2,0)),INDEX(Mortalidad_M!$B$3:$BX$93,MATCH(B153,Mortalidad_M!$A$3:$A$93,0),MATCH(MIN(C153,2100),Mortalidad_M!$B$2:$BX$2,0))),1)</f>
        <v/>
      </c>
      <c r="E153" s="15">
        <f>1-(1-D153)^(1/12)</f>
        <v/>
      </c>
      <c r="F153" s="16">
        <f>F152*(1-E152)</f>
        <v/>
      </c>
      <c r="G153" s="16">
        <f>1/(1+$C$7)^(A153/12)</f>
        <v/>
      </c>
      <c r="H153" s="16">
        <f>F153*G153</f>
        <v/>
      </c>
    </row>
    <row r="154">
      <c r="A154" s="14" t="n">
        <v>142</v>
      </c>
      <c r="B154">
        <f>$C$5+INT(A154/12)</f>
        <v/>
      </c>
      <c r="C154">
        <f>Parametros!$B$5+INT(A154/12)</f>
        <v/>
      </c>
      <c r="D154" s="15">
        <f>IFERROR(IF($C$4="H",INDEX(Mortalidad_H!$B$3:$BX$113,MATCH(B154,Mortalidad_H!$A$3:$A$113,0),MATCH(MIN(C154,2100),Mortalidad_H!$B$2:$BX$2,0)),INDEX(Mortalidad_M!$B$3:$BX$93,MATCH(B154,Mortalidad_M!$A$3:$A$93,0),MATCH(MIN(C154,2100),Mortalidad_M!$B$2:$BX$2,0))),1)</f>
        <v/>
      </c>
      <c r="E154" s="15">
        <f>1-(1-D154)^(1/12)</f>
        <v/>
      </c>
      <c r="F154" s="16">
        <f>F153*(1-E153)</f>
        <v/>
      </c>
      <c r="G154" s="16">
        <f>1/(1+$C$7)^(A154/12)</f>
        <v/>
      </c>
      <c r="H154" s="16">
        <f>F154*G154</f>
        <v/>
      </c>
    </row>
    <row r="155">
      <c r="A155" s="14" t="n">
        <v>143</v>
      </c>
      <c r="B155">
        <f>$C$5+INT(A155/12)</f>
        <v/>
      </c>
      <c r="C155">
        <f>Parametros!$B$5+INT(A155/12)</f>
        <v/>
      </c>
      <c r="D155" s="15">
        <f>IFERROR(IF($C$4="H",INDEX(Mortalidad_H!$B$3:$BX$113,MATCH(B155,Mortalidad_H!$A$3:$A$113,0),MATCH(MIN(C155,2100),Mortalidad_H!$B$2:$BX$2,0)),INDEX(Mortalidad_M!$B$3:$BX$93,MATCH(B155,Mortalidad_M!$A$3:$A$93,0),MATCH(MIN(C155,2100),Mortalidad_M!$B$2:$BX$2,0))),1)</f>
        <v/>
      </c>
      <c r="E155" s="15">
        <f>1-(1-D155)^(1/12)</f>
        <v/>
      </c>
      <c r="F155" s="16">
        <f>F154*(1-E154)</f>
        <v/>
      </c>
      <c r="G155" s="16">
        <f>1/(1+$C$7)^(A155/12)</f>
        <v/>
      </c>
      <c r="H155" s="16">
        <f>F155*G155</f>
        <v/>
      </c>
    </row>
    <row r="156">
      <c r="A156" s="14" t="n">
        <v>144</v>
      </c>
      <c r="B156">
        <f>$C$5+INT(A156/12)</f>
        <v/>
      </c>
      <c r="C156">
        <f>Parametros!$B$5+INT(A156/12)</f>
        <v/>
      </c>
      <c r="D156" s="15">
        <f>IFERROR(IF($C$4="H",INDEX(Mortalidad_H!$B$3:$BX$113,MATCH(B156,Mortalidad_H!$A$3:$A$113,0),MATCH(MIN(C156,2100),Mortalidad_H!$B$2:$BX$2,0)),INDEX(Mortalidad_M!$B$3:$BX$93,MATCH(B156,Mortalidad_M!$A$3:$A$93,0),MATCH(MIN(C156,2100),Mortalidad_M!$B$2:$BX$2,0))),1)</f>
        <v/>
      </c>
      <c r="E156" s="15">
        <f>1-(1-D156)^(1/12)</f>
        <v/>
      </c>
      <c r="F156" s="16">
        <f>F155*(1-E155)</f>
        <v/>
      </c>
      <c r="G156" s="16">
        <f>1/(1+$C$7)^(A156/12)</f>
        <v/>
      </c>
      <c r="H156" s="16">
        <f>F156*G156</f>
        <v/>
      </c>
    </row>
    <row r="157">
      <c r="A157" s="14" t="n">
        <v>145</v>
      </c>
      <c r="B157">
        <f>$C$5+INT(A157/12)</f>
        <v/>
      </c>
      <c r="C157">
        <f>Parametros!$B$5+INT(A157/12)</f>
        <v/>
      </c>
      <c r="D157" s="15">
        <f>IFERROR(IF($C$4="H",INDEX(Mortalidad_H!$B$3:$BX$113,MATCH(B157,Mortalidad_H!$A$3:$A$113,0),MATCH(MIN(C157,2100),Mortalidad_H!$B$2:$BX$2,0)),INDEX(Mortalidad_M!$B$3:$BX$93,MATCH(B157,Mortalidad_M!$A$3:$A$93,0),MATCH(MIN(C157,2100),Mortalidad_M!$B$2:$BX$2,0))),1)</f>
        <v/>
      </c>
      <c r="E157" s="15">
        <f>1-(1-D157)^(1/12)</f>
        <v/>
      </c>
      <c r="F157" s="16">
        <f>F156*(1-E156)</f>
        <v/>
      </c>
      <c r="G157" s="16">
        <f>1/(1+$C$7)^(A157/12)</f>
        <v/>
      </c>
      <c r="H157" s="16">
        <f>F157*G157</f>
        <v/>
      </c>
    </row>
    <row r="158">
      <c r="A158" s="14" t="n">
        <v>146</v>
      </c>
      <c r="B158">
        <f>$C$5+INT(A158/12)</f>
        <v/>
      </c>
      <c r="C158">
        <f>Parametros!$B$5+INT(A158/12)</f>
        <v/>
      </c>
      <c r="D158" s="15">
        <f>IFERROR(IF($C$4="H",INDEX(Mortalidad_H!$B$3:$BX$113,MATCH(B158,Mortalidad_H!$A$3:$A$113,0),MATCH(MIN(C158,2100),Mortalidad_H!$B$2:$BX$2,0)),INDEX(Mortalidad_M!$B$3:$BX$93,MATCH(B158,Mortalidad_M!$A$3:$A$93,0),MATCH(MIN(C158,2100),Mortalidad_M!$B$2:$BX$2,0))),1)</f>
        <v/>
      </c>
      <c r="E158" s="15">
        <f>1-(1-D158)^(1/12)</f>
        <v/>
      </c>
      <c r="F158" s="16">
        <f>F157*(1-E157)</f>
        <v/>
      </c>
      <c r="G158" s="16">
        <f>1/(1+$C$7)^(A158/12)</f>
        <v/>
      </c>
      <c r="H158" s="16">
        <f>F158*G158</f>
        <v/>
      </c>
    </row>
    <row r="159">
      <c r="A159" s="14" t="n">
        <v>147</v>
      </c>
      <c r="B159">
        <f>$C$5+INT(A159/12)</f>
        <v/>
      </c>
      <c r="C159">
        <f>Parametros!$B$5+INT(A159/12)</f>
        <v/>
      </c>
      <c r="D159" s="15">
        <f>IFERROR(IF($C$4="H",INDEX(Mortalidad_H!$B$3:$BX$113,MATCH(B159,Mortalidad_H!$A$3:$A$113,0),MATCH(MIN(C159,2100),Mortalidad_H!$B$2:$BX$2,0)),INDEX(Mortalidad_M!$B$3:$BX$93,MATCH(B159,Mortalidad_M!$A$3:$A$93,0),MATCH(MIN(C159,2100),Mortalidad_M!$B$2:$BX$2,0))),1)</f>
        <v/>
      </c>
      <c r="E159" s="15">
        <f>1-(1-D159)^(1/12)</f>
        <v/>
      </c>
      <c r="F159" s="16">
        <f>F158*(1-E158)</f>
        <v/>
      </c>
      <c r="G159" s="16">
        <f>1/(1+$C$7)^(A159/12)</f>
        <v/>
      </c>
      <c r="H159" s="16">
        <f>F159*G159</f>
        <v/>
      </c>
    </row>
    <row r="160">
      <c r="A160" s="14" t="n">
        <v>148</v>
      </c>
      <c r="B160">
        <f>$C$5+INT(A160/12)</f>
        <v/>
      </c>
      <c r="C160">
        <f>Parametros!$B$5+INT(A160/12)</f>
        <v/>
      </c>
      <c r="D160" s="15">
        <f>IFERROR(IF($C$4="H",INDEX(Mortalidad_H!$B$3:$BX$113,MATCH(B160,Mortalidad_H!$A$3:$A$113,0),MATCH(MIN(C160,2100),Mortalidad_H!$B$2:$BX$2,0)),INDEX(Mortalidad_M!$B$3:$BX$93,MATCH(B160,Mortalidad_M!$A$3:$A$93,0),MATCH(MIN(C160,2100),Mortalidad_M!$B$2:$BX$2,0))),1)</f>
        <v/>
      </c>
      <c r="E160" s="15">
        <f>1-(1-D160)^(1/12)</f>
        <v/>
      </c>
      <c r="F160" s="16">
        <f>F159*(1-E159)</f>
        <v/>
      </c>
      <c r="G160" s="16">
        <f>1/(1+$C$7)^(A160/12)</f>
        <v/>
      </c>
      <c r="H160" s="16">
        <f>F160*G160</f>
        <v/>
      </c>
    </row>
    <row r="161">
      <c r="A161" s="14" t="n">
        <v>149</v>
      </c>
      <c r="B161">
        <f>$C$5+INT(A161/12)</f>
        <v/>
      </c>
      <c r="C161">
        <f>Parametros!$B$5+INT(A161/12)</f>
        <v/>
      </c>
      <c r="D161" s="15">
        <f>IFERROR(IF($C$4="H",INDEX(Mortalidad_H!$B$3:$BX$113,MATCH(B161,Mortalidad_H!$A$3:$A$113,0),MATCH(MIN(C161,2100),Mortalidad_H!$B$2:$BX$2,0)),INDEX(Mortalidad_M!$B$3:$BX$93,MATCH(B161,Mortalidad_M!$A$3:$A$93,0),MATCH(MIN(C161,2100),Mortalidad_M!$B$2:$BX$2,0))),1)</f>
        <v/>
      </c>
      <c r="E161" s="15">
        <f>1-(1-D161)^(1/12)</f>
        <v/>
      </c>
      <c r="F161" s="16">
        <f>F160*(1-E160)</f>
        <v/>
      </c>
      <c r="G161" s="16">
        <f>1/(1+$C$7)^(A161/12)</f>
        <v/>
      </c>
      <c r="H161" s="16">
        <f>F161*G161</f>
        <v/>
      </c>
    </row>
    <row r="162">
      <c r="A162" s="14" t="n">
        <v>150</v>
      </c>
      <c r="B162">
        <f>$C$5+INT(A162/12)</f>
        <v/>
      </c>
      <c r="C162">
        <f>Parametros!$B$5+INT(A162/12)</f>
        <v/>
      </c>
      <c r="D162" s="15">
        <f>IFERROR(IF($C$4="H",INDEX(Mortalidad_H!$B$3:$BX$113,MATCH(B162,Mortalidad_H!$A$3:$A$113,0),MATCH(MIN(C162,2100),Mortalidad_H!$B$2:$BX$2,0)),INDEX(Mortalidad_M!$B$3:$BX$93,MATCH(B162,Mortalidad_M!$A$3:$A$93,0),MATCH(MIN(C162,2100),Mortalidad_M!$B$2:$BX$2,0))),1)</f>
        <v/>
      </c>
      <c r="E162" s="15">
        <f>1-(1-D162)^(1/12)</f>
        <v/>
      </c>
      <c r="F162" s="16">
        <f>F161*(1-E161)</f>
        <v/>
      </c>
      <c r="G162" s="16">
        <f>1/(1+$C$7)^(A162/12)</f>
        <v/>
      </c>
      <c r="H162" s="16">
        <f>F162*G162</f>
        <v/>
      </c>
    </row>
    <row r="163">
      <c r="A163" s="14" t="n">
        <v>151</v>
      </c>
      <c r="B163">
        <f>$C$5+INT(A163/12)</f>
        <v/>
      </c>
      <c r="C163">
        <f>Parametros!$B$5+INT(A163/12)</f>
        <v/>
      </c>
      <c r="D163" s="15">
        <f>IFERROR(IF($C$4="H",INDEX(Mortalidad_H!$B$3:$BX$113,MATCH(B163,Mortalidad_H!$A$3:$A$113,0),MATCH(MIN(C163,2100),Mortalidad_H!$B$2:$BX$2,0)),INDEX(Mortalidad_M!$B$3:$BX$93,MATCH(B163,Mortalidad_M!$A$3:$A$93,0),MATCH(MIN(C163,2100),Mortalidad_M!$B$2:$BX$2,0))),1)</f>
        <v/>
      </c>
      <c r="E163" s="15">
        <f>1-(1-D163)^(1/12)</f>
        <v/>
      </c>
      <c r="F163" s="16">
        <f>F162*(1-E162)</f>
        <v/>
      </c>
      <c r="G163" s="16">
        <f>1/(1+$C$7)^(A163/12)</f>
        <v/>
      </c>
      <c r="H163" s="16">
        <f>F163*G163</f>
        <v/>
      </c>
    </row>
    <row r="164">
      <c r="A164" s="14" t="n">
        <v>152</v>
      </c>
      <c r="B164">
        <f>$C$5+INT(A164/12)</f>
        <v/>
      </c>
      <c r="C164">
        <f>Parametros!$B$5+INT(A164/12)</f>
        <v/>
      </c>
      <c r="D164" s="15">
        <f>IFERROR(IF($C$4="H",INDEX(Mortalidad_H!$B$3:$BX$113,MATCH(B164,Mortalidad_H!$A$3:$A$113,0),MATCH(MIN(C164,2100),Mortalidad_H!$B$2:$BX$2,0)),INDEX(Mortalidad_M!$B$3:$BX$93,MATCH(B164,Mortalidad_M!$A$3:$A$93,0),MATCH(MIN(C164,2100),Mortalidad_M!$B$2:$BX$2,0))),1)</f>
        <v/>
      </c>
      <c r="E164" s="15">
        <f>1-(1-D164)^(1/12)</f>
        <v/>
      </c>
      <c r="F164" s="16">
        <f>F163*(1-E163)</f>
        <v/>
      </c>
      <c r="G164" s="16">
        <f>1/(1+$C$7)^(A164/12)</f>
        <v/>
      </c>
      <c r="H164" s="16">
        <f>F164*G164</f>
        <v/>
      </c>
    </row>
    <row r="165">
      <c r="A165" s="14" t="n">
        <v>153</v>
      </c>
      <c r="B165">
        <f>$C$5+INT(A165/12)</f>
        <v/>
      </c>
      <c r="C165">
        <f>Parametros!$B$5+INT(A165/12)</f>
        <v/>
      </c>
      <c r="D165" s="15">
        <f>IFERROR(IF($C$4="H",INDEX(Mortalidad_H!$B$3:$BX$113,MATCH(B165,Mortalidad_H!$A$3:$A$113,0),MATCH(MIN(C165,2100),Mortalidad_H!$B$2:$BX$2,0)),INDEX(Mortalidad_M!$B$3:$BX$93,MATCH(B165,Mortalidad_M!$A$3:$A$93,0),MATCH(MIN(C165,2100),Mortalidad_M!$B$2:$BX$2,0))),1)</f>
        <v/>
      </c>
      <c r="E165" s="15">
        <f>1-(1-D165)^(1/12)</f>
        <v/>
      </c>
      <c r="F165" s="16">
        <f>F164*(1-E164)</f>
        <v/>
      </c>
      <c r="G165" s="16">
        <f>1/(1+$C$7)^(A165/12)</f>
        <v/>
      </c>
      <c r="H165" s="16">
        <f>F165*G165</f>
        <v/>
      </c>
    </row>
    <row r="166">
      <c r="A166" s="14" t="n">
        <v>154</v>
      </c>
      <c r="B166">
        <f>$C$5+INT(A166/12)</f>
        <v/>
      </c>
      <c r="C166">
        <f>Parametros!$B$5+INT(A166/12)</f>
        <v/>
      </c>
      <c r="D166" s="15">
        <f>IFERROR(IF($C$4="H",INDEX(Mortalidad_H!$B$3:$BX$113,MATCH(B166,Mortalidad_H!$A$3:$A$113,0),MATCH(MIN(C166,2100),Mortalidad_H!$B$2:$BX$2,0)),INDEX(Mortalidad_M!$B$3:$BX$93,MATCH(B166,Mortalidad_M!$A$3:$A$93,0),MATCH(MIN(C166,2100),Mortalidad_M!$B$2:$BX$2,0))),1)</f>
        <v/>
      </c>
      <c r="E166" s="15">
        <f>1-(1-D166)^(1/12)</f>
        <v/>
      </c>
      <c r="F166" s="16">
        <f>F165*(1-E165)</f>
        <v/>
      </c>
      <c r="G166" s="16">
        <f>1/(1+$C$7)^(A166/12)</f>
        <v/>
      </c>
      <c r="H166" s="16">
        <f>F166*G166</f>
        <v/>
      </c>
    </row>
    <row r="167">
      <c r="A167" s="14" t="n">
        <v>155</v>
      </c>
      <c r="B167">
        <f>$C$5+INT(A167/12)</f>
        <v/>
      </c>
      <c r="C167">
        <f>Parametros!$B$5+INT(A167/12)</f>
        <v/>
      </c>
      <c r="D167" s="15">
        <f>IFERROR(IF($C$4="H",INDEX(Mortalidad_H!$B$3:$BX$113,MATCH(B167,Mortalidad_H!$A$3:$A$113,0),MATCH(MIN(C167,2100),Mortalidad_H!$B$2:$BX$2,0)),INDEX(Mortalidad_M!$B$3:$BX$93,MATCH(B167,Mortalidad_M!$A$3:$A$93,0),MATCH(MIN(C167,2100),Mortalidad_M!$B$2:$BX$2,0))),1)</f>
        <v/>
      </c>
      <c r="E167" s="15">
        <f>1-(1-D167)^(1/12)</f>
        <v/>
      </c>
      <c r="F167" s="16">
        <f>F166*(1-E166)</f>
        <v/>
      </c>
      <c r="G167" s="16">
        <f>1/(1+$C$7)^(A167/12)</f>
        <v/>
      </c>
      <c r="H167" s="16">
        <f>F167*G167</f>
        <v/>
      </c>
    </row>
    <row r="168">
      <c r="A168" s="14" t="n">
        <v>156</v>
      </c>
      <c r="B168">
        <f>$C$5+INT(A168/12)</f>
        <v/>
      </c>
      <c r="C168">
        <f>Parametros!$B$5+INT(A168/12)</f>
        <v/>
      </c>
      <c r="D168" s="15">
        <f>IFERROR(IF($C$4="H",INDEX(Mortalidad_H!$B$3:$BX$113,MATCH(B168,Mortalidad_H!$A$3:$A$113,0),MATCH(MIN(C168,2100),Mortalidad_H!$B$2:$BX$2,0)),INDEX(Mortalidad_M!$B$3:$BX$93,MATCH(B168,Mortalidad_M!$A$3:$A$93,0),MATCH(MIN(C168,2100),Mortalidad_M!$B$2:$BX$2,0))),1)</f>
        <v/>
      </c>
      <c r="E168" s="15">
        <f>1-(1-D168)^(1/12)</f>
        <v/>
      </c>
      <c r="F168" s="16">
        <f>F167*(1-E167)</f>
        <v/>
      </c>
      <c r="G168" s="16">
        <f>1/(1+$C$7)^(A168/12)</f>
        <v/>
      </c>
      <c r="H168" s="16">
        <f>F168*G168</f>
        <v/>
      </c>
    </row>
    <row r="169">
      <c r="A169" s="14" t="n">
        <v>157</v>
      </c>
      <c r="B169">
        <f>$C$5+INT(A169/12)</f>
        <v/>
      </c>
      <c r="C169">
        <f>Parametros!$B$5+INT(A169/12)</f>
        <v/>
      </c>
      <c r="D169" s="15">
        <f>IFERROR(IF($C$4="H",INDEX(Mortalidad_H!$B$3:$BX$113,MATCH(B169,Mortalidad_H!$A$3:$A$113,0),MATCH(MIN(C169,2100),Mortalidad_H!$B$2:$BX$2,0)),INDEX(Mortalidad_M!$B$3:$BX$93,MATCH(B169,Mortalidad_M!$A$3:$A$93,0),MATCH(MIN(C169,2100),Mortalidad_M!$B$2:$BX$2,0))),1)</f>
        <v/>
      </c>
      <c r="E169" s="15">
        <f>1-(1-D169)^(1/12)</f>
        <v/>
      </c>
      <c r="F169" s="16">
        <f>F168*(1-E168)</f>
        <v/>
      </c>
      <c r="G169" s="16">
        <f>1/(1+$C$7)^(A169/12)</f>
        <v/>
      </c>
      <c r="H169" s="16">
        <f>F169*G169</f>
        <v/>
      </c>
    </row>
    <row r="170">
      <c r="A170" s="14" t="n">
        <v>158</v>
      </c>
      <c r="B170">
        <f>$C$5+INT(A170/12)</f>
        <v/>
      </c>
      <c r="C170">
        <f>Parametros!$B$5+INT(A170/12)</f>
        <v/>
      </c>
      <c r="D170" s="15">
        <f>IFERROR(IF($C$4="H",INDEX(Mortalidad_H!$B$3:$BX$113,MATCH(B170,Mortalidad_H!$A$3:$A$113,0),MATCH(MIN(C170,2100),Mortalidad_H!$B$2:$BX$2,0)),INDEX(Mortalidad_M!$B$3:$BX$93,MATCH(B170,Mortalidad_M!$A$3:$A$93,0),MATCH(MIN(C170,2100),Mortalidad_M!$B$2:$BX$2,0))),1)</f>
        <v/>
      </c>
      <c r="E170" s="15">
        <f>1-(1-D170)^(1/12)</f>
        <v/>
      </c>
      <c r="F170" s="16">
        <f>F169*(1-E169)</f>
        <v/>
      </c>
      <c r="G170" s="16">
        <f>1/(1+$C$7)^(A170/12)</f>
        <v/>
      </c>
      <c r="H170" s="16">
        <f>F170*G170</f>
        <v/>
      </c>
    </row>
    <row r="171">
      <c r="A171" s="14" t="n">
        <v>159</v>
      </c>
      <c r="B171">
        <f>$C$5+INT(A171/12)</f>
        <v/>
      </c>
      <c r="C171">
        <f>Parametros!$B$5+INT(A171/12)</f>
        <v/>
      </c>
      <c r="D171" s="15">
        <f>IFERROR(IF($C$4="H",INDEX(Mortalidad_H!$B$3:$BX$113,MATCH(B171,Mortalidad_H!$A$3:$A$113,0),MATCH(MIN(C171,2100),Mortalidad_H!$B$2:$BX$2,0)),INDEX(Mortalidad_M!$B$3:$BX$93,MATCH(B171,Mortalidad_M!$A$3:$A$93,0),MATCH(MIN(C171,2100),Mortalidad_M!$B$2:$BX$2,0))),1)</f>
        <v/>
      </c>
      <c r="E171" s="15">
        <f>1-(1-D171)^(1/12)</f>
        <v/>
      </c>
      <c r="F171" s="16">
        <f>F170*(1-E170)</f>
        <v/>
      </c>
      <c r="G171" s="16">
        <f>1/(1+$C$7)^(A171/12)</f>
        <v/>
      </c>
      <c r="H171" s="16">
        <f>F171*G171</f>
        <v/>
      </c>
    </row>
    <row r="172">
      <c r="A172" s="14" t="n">
        <v>160</v>
      </c>
      <c r="B172">
        <f>$C$5+INT(A172/12)</f>
        <v/>
      </c>
      <c r="C172">
        <f>Parametros!$B$5+INT(A172/12)</f>
        <v/>
      </c>
      <c r="D172" s="15">
        <f>IFERROR(IF($C$4="H",INDEX(Mortalidad_H!$B$3:$BX$113,MATCH(B172,Mortalidad_H!$A$3:$A$113,0),MATCH(MIN(C172,2100),Mortalidad_H!$B$2:$BX$2,0)),INDEX(Mortalidad_M!$B$3:$BX$93,MATCH(B172,Mortalidad_M!$A$3:$A$93,0),MATCH(MIN(C172,2100),Mortalidad_M!$B$2:$BX$2,0))),1)</f>
        <v/>
      </c>
      <c r="E172" s="15">
        <f>1-(1-D172)^(1/12)</f>
        <v/>
      </c>
      <c r="F172" s="16">
        <f>F171*(1-E171)</f>
        <v/>
      </c>
      <c r="G172" s="16">
        <f>1/(1+$C$7)^(A172/12)</f>
        <v/>
      </c>
      <c r="H172" s="16">
        <f>F172*G172</f>
        <v/>
      </c>
    </row>
    <row r="173">
      <c r="A173" s="14" t="n">
        <v>161</v>
      </c>
      <c r="B173">
        <f>$C$5+INT(A173/12)</f>
        <v/>
      </c>
      <c r="C173">
        <f>Parametros!$B$5+INT(A173/12)</f>
        <v/>
      </c>
      <c r="D173" s="15">
        <f>IFERROR(IF($C$4="H",INDEX(Mortalidad_H!$B$3:$BX$113,MATCH(B173,Mortalidad_H!$A$3:$A$113,0),MATCH(MIN(C173,2100),Mortalidad_H!$B$2:$BX$2,0)),INDEX(Mortalidad_M!$B$3:$BX$93,MATCH(B173,Mortalidad_M!$A$3:$A$93,0),MATCH(MIN(C173,2100),Mortalidad_M!$B$2:$BX$2,0))),1)</f>
        <v/>
      </c>
      <c r="E173" s="15">
        <f>1-(1-D173)^(1/12)</f>
        <v/>
      </c>
      <c r="F173" s="16">
        <f>F172*(1-E172)</f>
        <v/>
      </c>
      <c r="G173" s="16">
        <f>1/(1+$C$7)^(A173/12)</f>
        <v/>
      </c>
      <c r="H173" s="16">
        <f>F173*G173</f>
        <v/>
      </c>
    </row>
    <row r="174">
      <c r="A174" s="14" t="n">
        <v>162</v>
      </c>
      <c r="B174">
        <f>$C$5+INT(A174/12)</f>
        <v/>
      </c>
      <c r="C174">
        <f>Parametros!$B$5+INT(A174/12)</f>
        <v/>
      </c>
      <c r="D174" s="15">
        <f>IFERROR(IF($C$4="H",INDEX(Mortalidad_H!$B$3:$BX$113,MATCH(B174,Mortalidad_H!$A$3:$A$113,0),MATCH(MIN(C174,2100),Mortalidad_H!$B$2:$BX$2,0)),INDEX(Mortalidad_M!$B$3:$BX$93,MATCH(B174,Mortalidad_M!$A$3:$A$93,0),MATCH(MIN(C174,2100),Mortalidad_M!$B$2:$BX$2,0))),1)</f>
        <v/>
      </c>
      <c r="E174" s="15">
        <f>1-(1-D174)^(1/12)</f>
        <v/>
      </c>
      <c r="F174" s="16">
        <f>F173*(1-E173)</f>
        <v/>
      </c>
      <c r="G174" s="16">
        <f>1/(1+$C$7)^(A174/12)</f>
        <v/>
      </c>
      <c r="H174" s="16">
        <f>F174*G174</f>
        <v/>
      </c>
    </row>
    <row r="175">
      <c r="A175" s="14" t="n">
        <v>163</v>
      </c>
      <c r="B175">
        <f>$C$5+INT(A175/12)</f>
        <v/>
      </c>
      <c r="C175">
        <f>Parametros!$B$5+INT(A175/12)</f>
        <v/>
      </c>
      <c r="D175" s="15">
        <f>IFERROR(IF($C$4="H",INDEX(Mortalidad_H!$B$3:$BX$113,MATCH(B175,Mortalidad_H!$A$3:$A$113,0),MATCH(MIN(C175,2100),Mortalidad_H!$B$2:$BX$2,0)),INDEX(Mortalidad_M!$B$3:$BX$93,MATCH(B175,Mortalidad_M!$A$3:$A$93,0),MATCH(MIN(C175,2100),Mortalidad_M!$B$2:$BX$2,0))),1)</f>
        <v/>
      </c>
      <c r="E175" s="15">
        <f>1-(1-D175)^(1/12)</f>
        <v/>
      </c>
      <c r="F175" s="16">
        <f>F174*(1-E174)</f>
        <v/>
      </c>
      <c r="G175" s="16">
        <f>1/(1+$C$7)^(A175/12)</f>
        <v/>
      </c>
      <c r="H175" s="16">
        <f>F175*G175</f>
        <v/>
      </c>
    </row>
    <row r="176">
      <c r="A176" s="14" t="n">
        <v>164</v>
      </c>
      <c r="B176">
        <f>$C$5+INT(A176/12)</f>
        <v/>
      </c>
      <c r="C176">
        <f>Parametros!$B$5+INT(A176/12)</f>
        <v/>
      </c>
      <c r="D176" s="15">
        <f>IFERROR(IF($C$4="H",INDEX(Mortalidad_H!$B$3:$BX$113,MATCH(B176,Mortalidad_H!$A$3:$A$113,0),MATCH(MIN(C176,2100),Mortalidad_H!$B$2:$BX$2,0)),INDEX(Mortalidad_M!$B$3:$BX$93,MATCH(B176,Mortalidad_M!$A$3:$A$93,0),MATCH(MIN(C176,2100),Mortalidad_M!$B$2:$BX$2,0))),1)</f>
        <v/>
      </c>
      <c r="E176" s="15">
        <f>1-(1-D176)^(1/12)</f>
        <v/>
      </c>
      <c r="F176" s="16">
        <f>F175*(1-E175)</f>
        <v/>
      </c>
      <c r="G176" s="16">
        <f>1/(1+$C$7)^(A176/12)</f>
        <v/>
      </c>
      <c r="H176" s="16">
        <f>F176*G176</f>
        <v/>
      </c>
    </row>
    <row r="177">
      <c r="A177" s="14" t="n">
        <v>165</v>
      </c>
      <c r="B177">
        <f>$C$5+INT(A177/12)</f>
        <v/>
      </c>
      <c r="C177">
        <f>Parametros!$B$5+INT(A177/12)</f>
        <v/>
      </c>
      <c r="D177" s="15">
        <f>IFERROR(IF($C$4="H",INDEX(Mortalidad_H!$B$3:$BX$113,MATCH(B177,Mortalidad_H!$A$3:$A$113,0),MATCH(MIN(C177,2100),Mortalidad_H!$B$2:$BX$2,0)),INDEX(Mortalidad_M!$B$3:$BX$93,MATCH(B177,Mortalidad_M!$A$3:$A$93,0),MATCH(MIN(C177,2100),Mortalidad_M!$B$2:$BX$2,0))),1)</f>
        <v/>
      </c>
      <c r="E177" s="15">
        <f>1-(1-D177)^(1/12)</f>
        <v/>
      </c>
      <c r="F177" s="16">
        <f>F176*(1-E176)</f>
        <v/>
      </c>
      <c r="G177" s="16">
        <f>1/(1+$C$7)^(A177/12)</f>
        <v/>
      </c>
      <c r="H177" s="16">
        <f>F177*G177</f>
        <v/>
      </c>
    </row>
    <row r="178">
      <c r="A178" s="14" t="n">
        <v>166</v>
      </c>
      <c r="B178">
        <f>$C$5+INT(A178/12)</f>
        <v/>
      </c>
      <c r="C178">
        <f>Parametros!$B$5+INT(A178/12)</f>
        <v/>
      </c>
      <c r="D178" s="15">
        <f>IFERROR(IF($C$4="H",INDEX(Mortalidad_H!$B$3:$BX$113,MATCH(B178,Mortalidad_H!$A$3:$A$113,0),MATCH(MIN(C178,2100),Mortalidad_H!$B$2:$BX$2,0)),INDEX(Mortalidad_M!$B$3:$BX$93,MATCH(B178,Mortalidad_M!$A$3:$A$93,0),MATCH(MIN(C178,2100),Mortalidad_M!$B$2:$BX$2,0))),1)</f>
        <v/>
      </c>
      <c r="E178" s="15">
        <f>1-(1-D178)^(1/12)</f>
        <v/>
      </c>
      <c r="F178" s="16">
        <f>F177*(1-E177)</f>
        <v/>
      </c>
      <c r="G178" s="16">
        <f>1/(1+$C$7)^(A178/12)</f>
        <v/>
      </c>
      <c r="H178" s="16">
        <f>F178*G178</f>
        <v/>
      </c>
    </row>
    <row r="179">
      <c r="A179" s="14" t="n">
        <v>167</v>
      </c>
      <c r="B179">
        <f>$C$5+INT(A179/12)</f>
        <v/>
      </c>
      <c r="C179">
        <f>Parametros!$B$5+INT(A179/12)</f>
        <v/>
      </c>
      <c r="D179" s="15">
        <f>IFERROR(IF($C$4="H",INDEX(Mortalidad_H!$B$3:$BX$113,MATCH(B179,Mortalidad_H!$A$3:$A$113,0),MATCH(MIN(C179,2100),Mortalidad_H!$B$2:$BX$2,0)),INDEX(Mortalidad_M!$B$3:$BX$93,MATCH(B179,Mortalidad_M!$A$3:$A$93,0),MATCH(MIN(C179,2100),Mortalidad_M!$B$2:$BX$2,0))),1)</f>
        <v/>
      </c>
      <c r="E179" s="15">
        <f>1-(1-D179)^(1/12)</f>
        <v/>
      </c>
      <c r="F179" s="16">
        <f>F178*(1-E178)</f>
        <v/>
      </c>
      <c r="G179" s="16">
        <f>1/(1+$C$7)^(A179/12)</f>
        <v/>
      </c>
      <c r="H179" s="16">
        <f>F179*G179</f>
        <v/>
      </c>
    </row>
    <row r="180">
      <c r="A180" s="14" t="n">
        <v>168</v>
      </c>
      <c r="B180">
        <f>$C$5+INT(A180/12)</f>
        <v/>
      </c>
      <c r="C180">
        <f>Parametros!$B$5+INT(A180/12)</f>
        <v/>
      </c>
      <c r="D180" s="15">
        <f>IFERROR(IF($C$4="H",INDEX(Mortalidad_H!$B$3:$BX$113,MATCH(B180,Mortalidad_H!$A$3:$A$113,0),MATCH(MIN(C180,2100),Mortalidad_H!$B$2:$BX$2,0)),INDEX(Mortalidad_M!$B$3:$BX$93,MATCH(B180,Mortalidad_M!$A$3:$A$93,0),MATCH(MIN(C180,2100),Mortalidad_M!$B$2:$BX$2,0))),1)</f>
        <v/>
      </c>
      <c r="E180" s="15">
        <f>1-(1-D180)^(1/12)</f>
        <v/>
      </c>
      <c r="F180" s="16">
        <f>F179*(1-E179)</f>
        <v/>
      </c>
      <c r="G180" s="16">
        <f>1/(1+$C$7)^(A180/12)</f>
        <v/>
      </c>
      <c r="H180" s="16">
        <f>F180*G180</f>
        <v/>
      </c>
    </row>
    <row r="181">
      <c r="A181" s="14" t="n">
        <v>169</v>
      </c>
      <c r="B181">
        <f>$C$5+INT(A181/12)</f>
        <v/>
      </c>
      <c r="C181">
        <f>Parametros!$B$5+INT(A181/12)</f>
        <v/>
      </c>
      <c r="D181" s="15">
        <f>IFERROR(IF($C$4="H",INDEX(Mortalidad_H!$B$3:$BX$113,MATCH(B181,Mortalidad_H!$A$3:$A$113,0),MATCH(MIN(C181,2100),Mortalidad_H!$B$2:$BX$2,0)),INDEX(Mortalidad_M!$B$3:$BX$93,MATCH(B181,Mortalidad_M!$A$3:$A$93,0),MATCH(MIN(C181,2100),Mortalidad_M!$B$2:$BX$2,0))),1)</f>
        <v/>
      </c>
      <c r="E181" s="15">
        <f>1-(1-D181)^(1/12)</f>
        <v/>
      </c>
      <c r="F181" s="16">
        <f>F180*(1-E180)</f>
        <v/>
      </c>
      <c r="G181" s="16">
        <f>1/(1+$C$7)^(A181/12)</f>
        <v/>
      </c>
      <c r="H181" s="16">
        <f>F181*G181</f>
        <v/>
      </c>
    </row>
    <row r="182">
      <c r="A182" s="14" t="n">
        <v>170</v>
      </c>
      <c r="B182">
        <f>$C$5+INT(A182/12)</f>
        <v/>
      </c>
      <c r="C182">
        <f>Parametros!$B$5+INT(A182/12)</f>
        <v/>
      </c>
      <c r="D182" s="15">
        <f>IFERROR(IF($C$4="H",INDEX(Mortalidad_H!$B$3:$BX$113,MATCH(B182,Mortalidad_H!$A$3:$A$113,0),MATCH(MIN(C182,2100),Mortalidad_H!$B$2:$BX$2,0)),INDEX(Mortalidad_M!$B$3:$BX$93,MATCH(B182,Mortalidad_M!$A$3:$A$93,0),MATCH(MIN(C182,2100),Mortalidad_M!$B$2:$BX$2,0))),1)</f>
        <v/>
      </c>
      <c r="E182" s="15">
        <f>1-(1-D182)^(1/12)</f>
        <v/>
      </c>
      <c r="F182" s="16">
        <f>F181*(1-E181)</f>
        <v/>
      </c>
      <c r="G182" s="16">
        <f>1/(1+$C$7)^(A182/12)</f>
        <v/>
      </c>
      <c r="H182" s="16">
        <f>F182*G182</f>
        <v/>
      </c>
    </row>
    <row r="183">
      <c r="A183" s="14" t="n">
        <v>171</v>
      </c>
      <c r="B183">
        <f>$C$5+INT(A183/12)</f>
        <v/>
      </c>
      <c r="C183">
        <f>Parametros!$B$5+INT(A183/12)</f>
        <v/>
      </c>
      <c r="D183" s="15">
        <f>IFERROR(IF($C$4="H",INDEX(Mortalidad_H!$B$3:$BX$113,MATCH(B183,Mortalidad_H!$A$3:$A$113,0),MATCH(MIN(C183,2100),Mortalidad_H!$B$2:$BX$2,0)),INDEX(Mortalidad_M!$B$3:$BX$93,MATCH(B183,Mortalidad_M!$A$3:$A$93,0),MATCH(MIN(C183,2100),Mortalidad_M!$B$2:$BX$2,0))),1)</f>
        <v/>
      </c>
      <c r="E183" s="15">
        <f>1-(1-D183)^(1/12)</f>
        <v/>
      </c>
      <c r="F183" s="16">
        <f>F182*(1-E182)</f>
        <v/>
      </c>
      <c r="G183" s="16">
        <f>1/(1+$C$7)^(A183/12)</f>
        <v/>
      </c>
      <c r="H183" s="16">
        <f>F183*G183</f>
        <v/>
      </c>
    </row>
    <row r="184">
      <c r="A184" s="14" t="n">
        <v>172</v>
      </c>
      <c r="B184">
        <f>$C$5+INT(A184/12)</f>
        <v/>
      </c>
      <c r="C184">
        <f>Parametros!$B$5+INT(A184/12)</f>
        <v/>
      </c>
      <c r="D184" s="15">
        <f>IFERROR(IF($C$4="H",INDEX(Mortalidad_H!$B$3:$BX$113,MATCH(B184,Mortalidad_H!$A$3:$A$113,0),MATCH(MIN(C184,2100),Mortalidad_H!$B$2:$BX$2,0)),INDEX(Mortalidad_M!$B$3:$BX$93,MATCH(B184,Mortalidad_M!$A$3:$A$93,0),MATCH(MIN(C184,2100),Mortalidad_M!$B$2:$BX$2,0))),1)</f>
        <v/>
      </c>
      <c r="E184" s="15">
        <f>1-(1-D184)^(1/12)</f>
        <v/>
      </c>
      <c r="F184" s="16">
        <f>F183*(1-E183)</f>
        <v/>
      </c>
      <c r="G184" s="16">
        <f>1/(1+$C$7)^(A184/12)</f>
        <v/>
      </c>
      <c r="H184" s="16">
        <f>F184*G184</f>
        <v/>
      </c>
    </row>
    <row r="185">
      <c r="A185" s="14" t="n">
        <v>173</v>
      </c>
      <c r="B185">
        <f>$C$5+INT(A185/12)</f>
        <v/>
      </c>
      <c r="C185">
        <f>Parametros!$B$5+INT(A185/12)</f>
        <v/>
      </c>
      <c r="D185" s="15">
        <f>IFERROR(IF($C$4="H",INDEX(Mortalidad_H!$B$3:$BX$113,MATCH(B185,Mortalidad_H!$A$3:$A$113,0),MATCH(MIN(C185,2100),Mortalidad_H!$B$2:$BX$2,0)),INDEX(Mortalidad_M!$B$3:$BX$93,MATCH(B185,Mortalidad_M!$A$3:$A$93,0),MATCH(MIN(C185,2100),Mortalidad_M!$B$2:$BX$2,0))),1)</f>
        <v/>
      </c>
      <c r="E185" s="15">
        <f>1-(1-D185)^(1/12)</f>
        <v/>
      </c>
      <c r="F185" s="16">
        <f>F184*(1-E184)</f>
        <v/>
      </c>
      <c r="G185" s="16">
        <f>1/(1+$C$7)^(A185/12)</f>
        <v/>
      </c>
      <c r="H185" s="16">
        <f>F185*G185</f>
        <v/>
      </c>
    </row>
    <row r="186">
      <c r="A186" s="14" t="n">
        <v>174</v>
      </c>
      <c r="B186">
        <f>$C$5+INT(A186/12)</f>
        <v/>
      </c>
      <c r="C186">
        <f>Parametros!$B$5+INT(A186/12)</f>
        <v/>
      </c>
      <c r="D186" s="15">
        <f>IFERROR(IF($C$4="H",INDEX(Mortalidad_H!$B$3:$BX$113,MATCH(B186,Mortalidad_H!$A$3:$A$113,0),MATCH(MIN(C186,2100),Mortalidad_H!$B$2:$BX$2,0)),INDEX(Mortalidad_M!$B$3:$BX$93,MATCH(B186,Mortalidad_M!$A$3:$A$93,0),MATCH(MIN(C186,2100),Mortalidad_M!$B$2:$BX$2,0))),1)</f>
        <v/>
      </c>
      <c r="E186" s="15">
        <f>1-(1-D186)^(1/12)</f>
        <v/>
      </c>
      <c r="F186" s="16">
        <f>F185*(1-E185)</f>
        <v/>
      </c>
      <c r="G186" s="16">
        <f>1/(1+$C$7)^(A186/12)</f>
        <v/>
      </c>
      <c r="H186" s="16">
        <f>F186*G186</f>
        <v/>
      </c>
    </row>
    <row r="187">
      <c r="A187" s="14" t="n">
        <v>175</v>
      </c>
      <c r="B187">
        <f>$C$5+INT(A187/12)</f>
        <v/>
      </c>
      <c r="C187">
        <f>Parametros!$B$5+INT(A187/12)</f>
        <v/>
      </c>
      <c r="D187" s="15">
        <f>IFERROR(IF($C$4="H",INDEX(Mortalidad_H!$B$3:$BX$113,MATCH(B187,Mortalidad_H!$A$3:$A$113,0),MATCH(MIN(C187,2100),Mortalidad_H!$B$2:$BX$2,0)),INDEX(Mortalidad_M!$B$3:$BX$93,MATCH(B187,Mortalidad_M!$A$3:$A$93,0),MATCH(MIN(C187,2100),Mortalidad_M!$B$2:$BX$2,0))),1)</f>
        <v/>
      </c>
      <c r="E187" s="15">
        <f>1-(1-D187)^(1/12)</f>
        <v/>
      </c>
      <c r="F187" s="16">
        <f>F186*(1-E186)</f>
        <v/>
      </c>
      <c r="G187" s="16">
        <f>1/(1+$C$7)^(A187/12)</f>
        <v/>
      </c>
      <c r="H187" s="16">
        <f>F187*G187</f>
        <v/>
      </c>
    </row>
    <row r="188">
      <c r="A188" s="14" t="n">
        <v>176</v>
      </c>
      <c r="B188">
        <f>$C$5+INT(A188/12)</f>
        <v/>
      </c>
      <c r="C188">
        <f>Parametros!$B$5+INT(A188/12)</f>
        <v/>
      </c>
      <c r="D188" s="15">
        <f>IFERROR(IF($C$4="H",INDEX(Mortalidad_H!$B$3:$BX$113,MATCH(B188,Mortalidad_H!$A$3:$A$113,0),MATCH(MIN(C188,2100),Mortalidad_H!$B$2:$BX$2,0)),INDEX(Mortalidad_M!$B$3:$BX$93,MATCH(B188,Mortalidad_M!$A$3:$A$93,0),MATCH(MIN(C188,2100),Mortalidad_M!$B$2:$BX$2,0))),1)</f>
        <v/>
      </c>
      <c r="E188" s="15">
        <f>1-(1-D188)^(1/12)</f>
        <v/>
      </c>
      <c r="F188" s="16">
        <f>F187*(1-E187)</f>
        <v/>
      </c>
      <c r="G188" s="16">
        <f>1/(1+$C$7)^(A188/12)</f>
        <v/>
      </c>
      <c r="H188" s="16">
        <f>F188*G188</f>
        <v/>
      </c>
    </row>
    <row r="189">
      <c r="A189" s="14" t="n">
        <v>177</v>
      </c>
      <c r="B189">
        <f>$C$5+INT(A189/12)</f>
        <v/>
      </c>
      <c r="C189">
        <f>Parametros!$B$5+INT(A189/12)</f>
        <v/>
      </c>
      <c r="D189" s="15">
        <f>IFERROR(IF($C$4="H",INDEX(Mortalidad_H!$B$3:$BX$113,MATCH(B189,Mortalidad_H!$A$3:$A$113,0),MATCH(MIN(C189,2100),Mortalidad_H!$B$2:$BX$2,0)),INDEX(Mortalidad_M!$B$3:$BX$93,MATCH(B189,Mortalidad_M!$A$3:$A$93,0),MATCH(MIN(C189,2100),Mortalidad_M!$B$2:$BX$2,0))),1)</f>
        <v/>
      </c>
      <c r="E189" s="15">
        <f>1-(1-D189)^(1/12)</f>
        <v/>
      </c>
      <c r="F189" s="16">
        <f>F188*(1-E188)</f>
        <v/>
      </c>
      <c r="G189" s="16">
        <f>1/(1+$C$7)^(A189/12)</f>
        <v/>
      </c>
      <c r="H189" s="16">
        <f>F189*G189</f>
        <v/>
      </c>
    </row>
    <row r="190">
      <c r="A190" s="14" t="n">
        <v>178</v>
      </c>
      <c r="B190">
        <f>$C$5+INT(A190/12)</f>
        <v/>
      </c>
      <c r="C190">
        <f>Parametros!$B$5+INT(A190/12)</f>
        <v/>
      </c>
      <c r="D190" s="15">
        <f>IFERROR(IF($C$4="H",INDEX(Mortalidad_H!$B$3:$BX$113,MATCH(B190,Mortalidad_H!$A$3:$A$113,0),MATCH(MIN(C190,2100),Mortalidad_H!$B$2:$BX$2,0)),INDEX(Mortalidad_M!$B$3:$BX$93,MATCH(B190,Mortalidad_M!$A$3:$A$93,0),MATCH(MIN(C190,2100),Mortalidad_M!$B$2:$BX$2,0))),1)</f>
        <v/>
      </c>
      <c r="E190" s="15">
        <f>1-(1-D190)^(1/12)</f>
        <v/>
      </c>
      <c r="F190" s="16">
        <f>F189*(1-E189)</f>
        <v/>
      </c>
      <c r="G190" s="16">
        <f>1/(1+$C$7)^(A190/12)</f>
        <v/>
      </c>
      <c r="H190" s="16">
        <f>F190*G190</f>
        <v/>
      </c>
    </row>
    <row r="191">
      <c r="A191" s="14" t="n">
        <v>179</v>
      </c>
      <c r="B191">
        <f>$C$5+INT(A191/12)</f>
        <v/>
      </c>
      <c r="C191">
        <f>Parametros!$B$5+INT(A191/12)</f>
        <v/>
      </c>
      <c r="D191" s="15">
        <f>IFERROR(IF($C$4="H",INDEX(Mortalidad_H!$B$3:$BX$113,MATCH(B191,Mortalidad_H!$A$3:$A$113,0),MATCH(MIN(C191,2100),Mortalidad_H!$B$2:$BX$2,0)),INDEX(Mortalidad_M!$B$3:$BX$93,MATCH(B191,Mortalidad_M!$A$3:$A$93,0),MATCH(MIN(C191,2100),Mortalidad_M!$B$2:$BX$2,0))),1)</f>
        <v/>
      </c>
      <c r="E191" s="15">
        <f>1-(1-D191)^(1/12)</f>
        <v/>
      </c>
      <c r="F191" s="16">
        <f>F190*(1-E190)</f>
        <v/>
      </c>
      <c r="G191" s="16">
        <f>1/(1+$C$7)^(A191/12)</f>
        <v/>
      </c>
      <c r="H191" s="16">
        <f>F191*G191</f>
        <v/>
      </c>
    </row>
    <row r="192">
      <c r="A192" s="14" t="n">
        <v>180</v>
      </c>
      <c r="B192">
        <f>$C$5+INT(A192/12)</f>
        <v/>
      </c>
      <c r="C192">
        <f>Parametros!$B$5+INT(A192/12)</f>
        <v/>
      </c>
      <c r="D192" s="15">
        <f>IFERROR(IF($C$4="H",INDEX(Mortalidad_H!$B$3:$BX$113,MATCH(B192,Mortalidad_H!$A$3:$A$113,0),MATCH(MIN(C192,2100),Mortalidad_H!$B$2:$BX$2,0)),INDEX(Mortalidad_M!$B$3:$BX$93,MATCH(B192,Mortalidad_M!$A$3:$A$93,0),MATCH(MIN(C192,2100),Mortalidad_M!$B$2:$BX$2,0))),1)</f>
        <v/>
      </c>
      <c r="E192" s="15">
        <f>1-(1-D192)^(1/12)</f>
        <v/>
      </c>
      <c r="F192" s="16">
        <f>F191*(1-E191)</f>
        <v/>
      </c>
      <c r="G192" s="16">
        <f>1/(1+$C$7)^(A192/12)</f>
        <v/>
      </c>
      <c r="H192" s="16">
        <f>F192*G192</f>
        <v/>
      </c>
    </row>
    <row r="193">
      <c r="A193" s="14" t="n">
        <v>181</v>
      </c>
      <c r="B193">
        <f>$C$5+INT(A193/12)</f>
        <v/>
      </c>
      <c r="C193">
        <f>Parametros!$B$5+INT(A193/12)</f>
        <v/>
      </c>
      <c r="D193" s="15">
        <f>IFERROR(IF($C$4="H",INDEX(Mortalidad_H!$B$3:$BX$113,MATCH(B193,Mortalidad_H!$A$3:$A$113,0),MATCH(MIN(C193,2100),Mortalidad_H!$B$2:$BX$2,0)),INDEX(Mortalidad_M!$B$3:$BX$93,MATCH(B193,Mortalidad_M!$A$3:$A$93,0),MATCH(MIN(C193,2100),Mortalidad_M!$B$2:$BX$2,0))),1)</f>
        <v/>
      </c>
      <c r="E193" s="15">
        <f>1-(1-D193)^(1/12)</f>
        <v/>
      </c>
      <c r="F193" s="16">
        <f>F192*(1-E192)</f>
        <v/>
      </c>
      <c r="G193" s="16">
        <f>1/(1+$C$7)^(A193/12)</f>
        <v/>
      </c>
      <c r="H193" s="16">
        <f>F193*G193</f>
        <v/>
      </c>
    </row>
    <row r="194">
      <c r="A194" s="14" t="n">
        <v>182</v>
      </c>
      <c r="B194">
        <f>$C$5+INT(A194/12)</f>
        <v/>
      </c>
      <c r="C194">
        <f>Parametros!$B$5+INT(A194/12)</f>
        <v/>
      </c>
      <c r="D194" s="15">
        <f>IFERROR(IF($C$4="H",INDEX(Mortalidad_H!$B$3:$BX$113,MATCH(B194,Mortalidad_H!$A$3:$A$113,0),MATCH(MIN(C194,2100),Mortalidad_H!$B$2:$BX$2,0)),INDEX(Mortalidad_M!$B$3:$BX$93,MATCH(B194,Mortalidad_M!$A$3:$A$93,0),MATCH(MIN(C194,2100),Mortalidad_M!$B$2:$BX$2,0))),1)</f>
        <v/>
      </c>
      <c r="E194" s="15">
        <f>1-(1-D194)^(1/12)</f>
        <v/>
      </c>
      <c r="F194" s="16">
        <f>F193*(1-E193)</f>
        <v/>
      </c>
      <c r="G194" s="16">
        <f>1/(1+$C$7)^(A194/12)</f>
        <v/>
      </c>
      <c r="H194" s="16">
        <f>F194*G194</f>
        <v/>
      </c>
    </row>
    <row r="195">
      <c r="A195" s="14" t="n">
        <v>183</v>
      </c>
      <c r="B195">
        <f>$C$5+INT(A195/12)</f>
        <v/>
      </c>
      <c r="C195">
        <f>Parametros!$B$5+INT(A195/12)</f>
        <v/>
      </c>
      <c r="D195" s="15">
        <f>IFERROR(IF($C$4="H",INDEX(Mortalidad_H!$B$3:$BX$113,MATCH(B195,Mortalidad_H!$A$3:$A$113,0),MATCH(MIN(C195,2100),Mortalidad_H!$B$2:$BX$2,0)),INDEX(Mortalidad_M!$B$3:$BX$93,MATCH(B195,Mortalidad_M!$A$3:$A$93,0),MATCH(MIN(C195,2100),Mortalidad_M!$B$2:$BX$2,0))),1)</f>
        <v/>
      </c>
      <c r="E195" s="15">
        <f>1-(1-D195)^(1/12)</f>
        <v/>
      </c>
      <c r="F195" s="16">
        <f>F194*(1-E194)</f>
        <v/>
      </c>
      <c r="G195" s="16">
        <f>1/(1+$C$7)^(A195/12)</f>
        <v/>
      </c>
      <c r="H195" s="16">
        <f>F195*G195</f>
        <v/>
      </c>
    </row>
    <row r="196">
      <c r="A196" s="14" t="n">
        <v>184</v>
      </c>
      <c r="B196">
        <f>$C$5+INT(A196/12)</f>
        <v/>
      </c>
      <c r="C196">
        <f>Parametros!$B$5+INT(A196/12)</f>
        <v/>
      </c>
      <c r="D196" s="15">
        <f>IFERROR(IF($C$4="H",INDEX(Mortalidad_H!$B$3:$BX$113,MATCH(B196,Mortalidad_H!$A$3:$A$113,0),MATCH(MIN(C196,2100),Mortalidad_H!$B$2:$BX$2,0)),INDEX(Mortalidad_M!$B$3:$BX$93,MATCH(B196,Mortalidad_M!$A$3:$A$93,0),MATCH(MIN(C196,2100),Mortalidad_M!$B$2:$BX$2,0))),1)</f>
        <v/>
      </c>
      <c r="E196" s="15">
        <f>1-(1-D196)^(1/12)</f>
        <v/>
      </c>
      <c r="F196" s="16">
        <f>F195*(1-E195)</f>
        <v/>
      </c>
      <c r="G196" s="16">
        <f>1/(1+$C$7)^(A196/12)</f>
        <v/>
      </c>
      <c r="H196" s="16">
        <f>F196*G196</f>
        <v/>
      </c>
    </row>
    <row r="197">
      <c r="A197" s="14" t="n">
        <v>185</v>
      </c>
      <c r="B197">
        <f>$C$5+INT(A197/12)</f>
        <v/>
      </c>
      <c r="C197">
        <f>Parametros!$B$5+INT(A197/12)</f>
        <v/>
      </c>
      <c r="D197" s="15">
        <f>IFERROR(IF($C$4="H",INDEX(Mortalidad_H!$B$3:$BX$113,MATCH(B197,Mortalidad_H!$A$3:$A$113,0),MATCH(MIN(C197,2100),Mortalidad_H!$B$2:$BX$2,0)),INDEX(Mortalidad_M!$B$3:$BX$93,MATCH(B197,Mortalidad_M!$A$3:$A$93,0),MATCH(MIN(C197,2100),Mortalidad_M!$B$2:$BX$2,0))),1)</f>
        <v/>
      </c>
      <c r="E197" s="15">
        <f>1-(1-D197)^(1/12)</f>
        <v/>
      </c>
      <c r="F197" s="16">
        <f>F196*(1-E196)</f>
        <v/>
      </c>
      <c r="G197" s="16">
        <f>1/(1+$C$7)^(A197/12)</f>
        <v/>
      </c>
      <c r="H197" s="16">
        <f>F197*G197</f>
        <v/>
      </c>
    </row>
    <row r="198">
      <c r="A198" s="14" t="n">
        <v>186</v>
      </c>
      <c r="B198">
        <f>$C$5+INT(A198/12)</f>
        <v/>
      </c>
      <c r="C198">
        <f>Parametros!$B$5+INT(A198/12)</f>
        <v/>
      </c>
      <c r="D198" s="15">
        <f>IFERROR(IF($C$4="H",INDEX(Mortalidad_H!$B$3:$BX$113,MATCH(B198,Mortalidad_H!$A$3:$A$113,0),MATCH(MIN(C198,2100),Mortalidad_H!$B$2:$BX$2,0)),INDEX(Mortalidad_M!$B$3:$BX$93,MATCH(B198,Mortalidad_M!$A$3:$A$93,0),MATCH(MIN(C198,2100),Mortalidad_M!$B$2:$BX$2,0))),1)</f>
        <v/>
      </c>
      <c r="E198" s="15">
        <f>1-(1-D198)^(1/12)</f>
        <v/>
      </c>
      <c r="F198" s="16">
        <f>F197*(1-E197)</f>
        <v/>
      </c>
      <c r="G198" s="16">
        <f>1/(1+$C$7)^(A198/12)</f>
        <v/>
      </c>
      <c r="H198" s="16">
        <f>F198*G198</f>
        <v/>
      </c>
    </row>
    <row r="199">
      <c r="A199" s="14" t="n">
        <v>187</v>
      </c>
      <c r="B199">
        <f>$C$5+INT(A199/12)</f>
        <v/>
      </c>
      <c r="C199">
        <f>Parametros!$B$5+INT(A199/12)</f>
        <v/>
      </c>
      <c r="D199" s="15">
        <f>IFERROR(IF($C$4="H",INDEX(Mortalidad_H!$B$3:$BX$113,MATCH(B199,Mortalidad_H!$A$3:$A$113,0),MATCH(MIN(C199,2100),Mortalidad_H!$B$2:$BX$2,0)),INDEX(Mortalidad_M!$B$3:$BX$93,MATCH(B199,Mortalidad_M!$A$3:$A$93,0),MATCH(MIN(C199,2100),Mortalidad_M!$B$2:$BX$2,0))),1)</f>
        <v/>
      </c>
      <c r="E199" s="15">
        <f>1-(1-D199)^(1/12)</f>
        <v/>
      </c>
      <c r="F199" s="16">
        <f>F198*(1-E198)</f>
        <v/>
      </c>
      <c r="G199" s="16">
        <f>1/(1+$C$7)^(A199/12)</f>
        <v/>
      </c>
      <c r="H199" s="16">
        <f>F199*G199</f>
        <v/>
      </c>
    </row>
    <row r="200">
      <c r="A200" s="14" t="n">
        <v>188</v>
      </c>
      <c r="B200">
        <f>$C$5+INT(A200/12)</f>
        <v/>
      </c>
      <c r="C200">
        <f>Parametros!$B$5+INT(A200/12)</f>
        <v/>
      </c>
      <c r="D200" s="15">
        <f>IFERROR(IF($C$4="H",INDEX(Mortalidad_H!$B$3:$BX$113,MATCH(B200,Mortalidad_H!$A$3:$A$113,0),MATCH(MIN(C200,2100),Mortalidad_H!$B$2:$BX$2,0)),INDEX(Mortalidad_M!$B$3:$BX$93,MATCH(B200,Mortalidad_M!$A$3:$A$93,0),MATCH(MIN(C200,2100),Mortalidad_M!$B$2:$BX$2,0))),1)</f>
        <v/>
      </c>
      <c r="E200" s="15">
        <f>1-(1-D200)^(1/12)</f>
        <v/>
      </c>
      <c r="F200" s="16">
        <f>F199*(1-E199)</f>
        <v/>
      </c>
      <c r="G200" s="16">
        <f>1/(1+$C$7)^(A200/12)</f>
        <v/>
      </c>
      <c r="H200" s="16">
        <f>F200*G200</f>
        <v/>
      </c>
    </row>
    <row r="201">
      <c r="A201" s="14" t="n">
        <v>189</v>
      </c>
      <c r="B201">
        <f>$C$5+INT(A201/12)</f>
        <v/>
      </c>
      <c r="C201">
        <f>Parametros!$B$5+INT(A201/12)</f>
        <v/>
      </c>
      <c r="D201" s="15">
        <f>IFERROR(IF($C$4="H",INDEX(Mortalidad_H!$B$3:$BX$113,MATCH(B201,Mortalidad_H!$A$3:$A$113,0),MATCH(MIN(C201,2100),Mortalidad_H!$B$2:$BX$2,0)),INDEX(Mortalidad_M!$B$3:$BX$93,MATCH(B201,Mortalidad_M!$A$3:$A$93,0),MATCH(MIN(C201,2100),Mortalidad_M!$B$2:$BX$2,0))),1)</f>
        <v/>
      </c>
      <c r="E201" s="15">
        <f>1-(1-D201)^(1/12)</f>
        <v/>
      </c>
      <c r="F201" s="16">
        <f>F200*(1-E200)</f>
        <v/>
      </c>
      <c r="G201" s="16">
        <f>1/(1+$C$7)^(A201/12)</f>
        <v/>
      </c>
      <c r="H201" s="16">
        <f>F201*G201</f>
        <v/>
      </c>
    </row>
    <row r="202">
      <c r="A202" s="14" t="n">
        <v>190</v>
      </c>
      <c r="B202">
        <f>$C$5+INT(A202/12)</f>
        <v/>
      </c>
      <c r="C202">
        <f>Parametros!$B$5+INT(A202/12)</f>
        <v/>
      </c>
      <c r="D202" s="15">
        <f>IFERROR(IF($C$4="H",INDEX(Mortalidad_H!$B$3:$BX$113,MATCH(B202,Mortalidad_H!$A$3:$A$113,0),MATCH(MIN(C202,2100),Mortalidad_H!$B$2:$BX$2,0)),INDEX(Mortalidad_M!$B$3:$BX$93,MATCH(B202,Mortalidad_M!$A$3:$A$93,0),MATCH(MIN(C202,2100),Mortalidad_M!$B$2:$BX$2,0))),1)</f>
        <v/>
      </c>
      <c r="E202" s="15">
        <f>1-(1-D202)^(1/12)</f>
        <v/>
      </c>
      <c r="F202" s="16">
        <f>F201*(1-E201)</f>
        <v/>
      </c>
      <c r="G202" s="16">
        <f>1/(1+$C$7)^(A202/12)</f>
        <v/>
      </c>
      <c r="H202" s="16">
        <f>F202*G202</f>
        <v/>
      </c>
    </row>
    <row r="203">
      <c r="A203" s="14" t="n">
        <v>191</v>
      </c>
      <c r="B203">
        <f>$C$5+INT(A203/12)</f>
        <v/>
      </c>
      <c r="C203">
        <f>Parametros!$B$5+INT(A203/12)</f>
        <v/>
      </c>
      <c r="D203" s="15">
        <f>IFERROR(IF($C$4="H",INDEX(Mortalidad_H!$B$3:$BX$113,MATCH(B203,Mortalidad_H!$A$3:$A$113,0),MATCH(MIN(C203,2100),Mortalidad_H!$B$2:$BX$2,0)),INDEX(Mortalidad_M!$B$3:$BX$93,MATCH(B203,Mortalidad_M!$A$3:$A$93,0),MATCH(MIN(C203,2100),Mortalidad_M!$B$2:$BX$2,0))),1)</f>
        <v/>
      </c>
      <c r="E203" s="15">
        <f>1-(1-D203)^(1/12)</f>
        <v/>
      </c>
      <c r="F203" s="16">
        <f>F202*(1-E202)</f>
        <v/>
      </c>
      <c r="G203" s="16">
        <f>1/(1+$C$7)^(A203/12)</f>
        <v/>
      </c>
      <c r="H203" s="16">
        <f>F203*G203</f>
        <v/>
      </c>
    </row>
    <row r="204">
      <c r="A204" s="14" t="n">
        <v>192</v>
      </c>
      <c r="B204">
        <f>$C$5+INT(A204/12)</f>
        <v/>
      </c>
      <c r="C204">
        <f>Parametros!$B$5+INT(A204/12)</f>
        <v/>
      </c>
      <c r="D204" s="15">
        <f>IFERROR(IF($C$4="H",INDEX(Mortalidad_H!$B$3:$BX$113,MATCH(B204,Mortalidad_H!$A$3:$A$113,0),MATCH(MIN(C204,2100),Mortalidad_H!$B$2:$BX$2,0)),INDEX(Mortalidad_M!$B$3:$BX$93,MATCH(B204,Mortalidad_M!$A$3:$A$93,0),MATCH(MIN(C204,2100),Mortalidad_M!$B$2:$BX$2,0))),1)</f>
        <v/>
      </c>
      <c r="E204" s="15">
        <f>1-(1-D204)^(1/12)</f>
        <v/>
      </c>
      <c r="F204" s="16">
        <f>F203*(1-E203)</f>
        <v/>
      </c>
      <c r="G204" s="16">
        <f>1/(1+$C$7)^(A204/12)</f>
        <v/>
      </c>
      <c r="H204" s="16">
        <f>F204*G204</f>
        <v/>
      </c>
    </row>
    <row r="205">
      <c r="A205" s="14" t="n">
        <v>193</v>
      </c>
      <c r="B205">
        <f>$C$5+INT(A205/12)</f>
        <v/>
      </c>
      <c r="C205">
        <f>Parametros!$B$5+INT(A205/12)</f>
        <v/>
      </c>
      <c r="D205" s="15">
        <f>IFERROR(IF($C$4="H",INDEX(Mortalidad_H!$B$3:$BX$113,MATCH(B205,Mortalidad_H!$A$3:$A$113,0),MATCH(MIN(C205,2100),Mortalidad_H!$B$2:$BX$2,0)),INDEX(Mortalidad_M!$B$3:$BX$93,MATCH(B205,Mortalidad_M!$A$3:$A$93,0),MATCH(MIN(C205,2100),Mortalidad_M!$B$2:$BX$2,0))),1)</f>
        <v/>
      </c>
      <c r="E205" s="15">
        <f>1-(1-D205)^(1/12)</f>
        <v/>
      </c>
      <c r="F205" s="16">
        <f>F204*(1-E204)</f>
        <v/>
      </c>
      <c r="G205" s="16">
        <f>1/(1+$C$7)^(A205/12)</f>
        <v/>
      </c>
      <c r="H205" s="16">
        <f>F205*G205</f>
        <v/>
      </c>
    </row>
    <row r="206">
      <c r="A206" s="14" t="n">
        <v>194</v>
      </c>
      <c r="B206">
        <f>$C$5+INT(A206/12)</f>
        <v/>
      </c>
      <c r="C206">
        <f>Parametros!$B$5+INT(A206/12)</f>
        <v/>
      </c>
      <c r="D206" s="15">
        <f>IFERROR(IF($C$4="H",INDEX(Mortalidad_H!$B$3:$BX$113,MATCH(B206,Mortalidad_H!$A$3:$A$113,0),MATCH(MIN(C206,2100),Mortalidad_H!$B$2:$BX$2,0)),INDEX(Mortalidad_M!$B$3:$BX$93,MATCH(B206,Mortalidad_M!$A$3:$A$93,0),MATCH(MIN(C206,2100),Mortalidad_M!$B$2:$BX$2,0))),1)</f>
        <v/>
      </c>
      <c r="E206" s="15">
        <f>1-(1-D206)^(1/12)</f>
        <v/>
      </c>
      <c r="F206" s="16">
        <f>F205*(1-E205)</f>
        <v/>
      </c>
      <c r="G206" s="16">
        <f>1/(1+$C$7)^(A206/12)</f>
        <v/>
      </c>
      <c r="H206" s="16">
        <f>F206*G206</f>
        <v/>
      </c>
    </row>
    <row r="207">
      <c r="A207" s="14" t="n">
        <v>195</v>
      </c>
      <c r="B207">
        <f>$C$5+INT(A207/12)</f>
        <v/>
      </c>
      <c r="C207">
        <f>Parametros!$B$5+INT(A207/12)</f>
        <v/>
      </c>
      <c r="D207" s="15">
        <f>IFERROR(IF($C$4="H",INDEX(Mortalidad_H!$B$3:$BX$113,MATCH(B207,Mortalidad_H!$A$3:$A$113,0),MATCH(MIN(C207,2100),Mortalidad_H!$B$2:$BX$2,0)),INDEX(Mortalidad_M!$B$3:$BX$93,MATCH(B207,Mortalidad_M!$A$3:$A$93,0),MATCH(MIN(C207,2100),Mortalidad_M!$B$2:$BX$2,0))),1)</f>
        <v/>
      </c>
      <c r="E207" s="15">
        <f>1-(1-D207)^(1/12)</f>
        <v/>
      </c>
      <c r="F207" s="16">
        <f>F206*(1-E206)</f>
        <v/>
      </c>
      <c r="G207" s="16">
        <f>1/(1+$C$7)^(A207/12)</f>
        <v/>
      </c>
      <c r="H207" s="16">
        <f>F207*G207</f>
        <v/>
      </c>
    </row>
    <row r="208">
      <c r="A208" s="14" t="n">
        <v>196</v>
      </c>
      <c r="B208">
        <f>$C$5+INT(A208/12)</f>
        <v/>
      </c>
      <c r="C208">
        <f>Parametros!$B$5+INT(A208/12)</f>
        <v/>
      </c>
      <c r="D208" s="15">
        <f>IFERROR(IF($C$4="H",INDEX(Mortalidad_H!$B$3:$BX$113,MATCH(B208,Mortalidad_H!$A$3:$A$113,0),MATCH(MIN(C208,2100),Mortalidad_H!$B$2:$BX$2,0)),INDEX(Mortalidad_M!$B$3:$BX$93,MATCH(B208,Mortalidad_M!$A$3:$A$93,0),MATCH(MIN(C208,2100),Mortalidad_M!$B$2:$BX$2,0))),1)</f>
        <v/>
      </c>
      <c r="E208" s="15">
        <f>1-(1-D208)^(1/12)</f>
        <v/>
      </c>
      <c r="F208" s="16">
        <f>F207*(1-E207)</f>
        <v/>
      </c>
      <c r="G208" s="16">
        <f>1/(1+$C$7)^(A208/12)</f>
        <v/>
      </c>
      <c r="H208" s="16">
        <f>F208*G208</f>
        <v/>
      </c>
    </row>
    <row r="209">
      <c r="A209" s="14" t="n">
        <v>197</v>
      </c>
      <c r="B209">
        <f>$C$5+INT(A209/12)</f>
        <v/>
      </c>
      <c r="C209">
        <f>Parametros!$B$5+INT(A209/12)</f>
        <v/>
      </c>
      <c r="D209" s="15">
        <f>IFERROR(IF($C$4="H",INDEX(Mortalidad_H!$B$3:$BX$113,MATCH(B209,Mortalidad_H!$A$3:$A$113,0),MATCH(MIN(C209,2100),Mortalidad_H!$B$2:$BX$2,0)),INDEX(Mortalidad_M!$B$3:$BX$93,MATCH(B209,Mortalidad_M!$A$3:$A$93,0),MATCH(MIN(C209,2100),Mortalidad_M!$B$2:$BX$2,0))),1)</f>
        <v/>
      </c>
      <c r="E209" s="15">
        <f>1-(1-D209)^(1/12)</f>
        <v/>
      </c>
      <c r="F209" s="16">
        <f>F208*(1-E208)</f>
        <v/>
      </c>
      <c r="G209" s="16">
        <f>1/(1+$C$7)^(A209/12)</f>
        <v/>
      </c>
      <c r="H209" s="16">
        <f>F209*G209</f>
        <v/>
      </c>
    </row>
    <row r="210">
      <c r="A210" s="14" t="n">
        <v>198</v>
      </c>
      <c r="B210">
        <f>$C$5+INT(A210/12)</f>
        <v/>
      </c>
      <c r="C210">
        <f>Parametros!$B$5+INT(A210/12)</f>
        <v/>
      </c>
      <c r="D210" s="15">
        <f>IFERROR(IF($C$4="H",INDEX(Mortalidad_H!$B$3:$BX$113,MATCH(B210,Mortalidad_H!$A$3:$A$113,0),MATCH(MIN(C210,2100),Mortalidad_H!$B$2:$BX$2,0)),INDEX(Mortalidad_M!$B$3:$BX$93,MATCH(B210,Mortalidad_M!$A$3:$A$93,0),MATCH(MIN(C210,2100),Mortalidad_M!$B$2:$BX$2,0))),1)</f>
        <v/>
      </c>
      <c r="E210" s="15">
        <f>1-(1-D210)^(1/12)</f>
        <v/>
      </c>
      <c r="F210" s="16">
        <f>F209*(1-E209)</f>
        <v/>
      </c>
      <c r="G210" s="16">
        <f>1/(1+$C$7)^(A210/12)</f>
        <v/>
      </c>
      <c r="H210" s="16">
        <f>F210*G210</f>
        <v/>
      </c>
    </row>
    <row r="211">
      <c r="A211" s="14" t="n">
        <v>199</v>
      </c>
      <c r="B211">
        <f>$C$5+INT(A211/12)</f>
        <v/>
      </c>
      <c r="C211">
        <f>Parametros!$B$5+INT(A211/12)</f>
        <v/>
      </c>
      <c r="D211" s="15">
        <f>IFERROR(IF($C$4="H",INDEX(Mortalidad_H!$B$3:$BX$113,MATCH(B211,Mortalidad_H!$A$3:$A$113,0),MATCH(MIN(C211,2100),Mortalidad_H!$B$2:$BX$2,0)),INDEX(Mortalidad_M!$B$3:$BX$93,MATCH(B211,Mortalidad_M!$A$3:$A$93,0),MATCH(MIN(C211,2100),Mortalidad_M!$B$2:$BX$2,0))),1)</f>
        <v/>
      </c>
      <c r="E211" s="15">
        <f>1-(1-D211)^(1/12)</f>
        <v/>
      </c>
      <c r="F211" s="16">
        <f>F210*(1-E210)</f>
        <v/>
      </c>
      <c r="G211" s="16">
        <f>1/(1+$C$7)^(A211/12)</f>
        <v/>
      </c>
      <c r="H211" s="16">
        <f>F211*G211</f>
        <v/>
      </c>
    </row>
    <row r="212">
      <c r="A212" s="14" t="n">
        <v>200</v>
      </c>
      <c r="B212">
        <f>$C$5+INT(A212/12)</f>
        <v/>
      </c>
      <c r="C212">
        <f>Parametros!$B$5+INT(A212/12)</f>
        <v/>
      </c>
      <c r="D212" s="15">
        <f>IFERROR(IF($C$4="H",INDEX(Mortalidad_H!$B$3:$BX$113,MATCH(B212,Mortalidad_H!$A$3:$A$113,0),MATCH(MIN(C212,2100),Mortalidad_H!$B$2:$BX$2,0)),INDEX(Mortalidad_M!$B$3:$BX$93,MATCH(B212,Mortalidad_M!$A$3:$A$93,0),MATCH(MIN(C212,2100),Mortalidad_M!$B$2:$BX$2,0))),1)</f>
        <v/>
      </c>
      <c r="E212" s="15">
        <f>1-(1-D212)^(1/12)</f>
        <v/>
      </c>
      <c r="F212" s="16">
        <f>F211*(1-E211)</f>
        <v/>
      </c>
      <c r="G212" s="16">
        <f>1/(1+$C$7)^(A212/12)</f>
        <v/>
      </c>
      <c r="H212" s="16">
        <f>F212*G212</f>
        <v/>
      </c>
    </row>
    <row r="213">
      <c r="A213" s="14" t="n">
        <v>201</v>
      </c>
      <c r="B213">
        <f>$C$5+INT(A213/12)</f>
        <v/>
      </c>
      <c r="C213">
        <f>Parametros!$B$5+INT(A213/12)</f>
        <v/>
      </c>
      <c r="D213" s="15">
        <f>IFERROR(IF($C$4="H",INDEX(Mortalidad_H!$B$3:$BX$113,MATCH(B213,Mortalidad_H!$A$3:$A$113,0),MATCH(MIN(C213,2100),Mortalidad_H!$B$2:$BX$2,0)),INDEX(Mortalidad_M!$B$3:$BX$93,MATCH(B213,Mortalidad_M!$A$3:$A$93,0),MATCH(MIN(C213,2100),Mortalidad_M!$B$2:$BX$2,0))),1)</f>
        <v/>
      </c>
      <c r="E213" s="15">
        <f>1-(1-D213)^(1/12)</f>
        <v/>
      </c>
      <c r="F213" s="16">
        <f>F212*(1-E212)</f>
        <v/>
      </c>
      <c r="G213" s="16">
        <f>1/(1+$C$7)^(A213/12)</f>
        <v/>
      </c>
      <c r="H213" s="16">
        <f>F213*G213</f>
        <v/>
      </c>
    </row>
    <row r="214">
      <c r="A214" s="14" t="n">
        <v>202</v>
      </c>
      <c r="B214">
        <f>$C$5+INT(A214/12)</f>
        <v/>
      </c>
      <c r="C214">
        <f>Parametros!$B$5+INT(A214/12)</f>
        <v/>
      </c>
      <c r="D214" s="15">
        <f>IFERROR(IF($C$4="H",INDEX(Mortalidad_H!$B$3:$BX$113,MATCH(B214,Mortalidad_H!$A$3:$A$113,0),MATCH(MIN(C214,2100),Mortalidad_H!$B$2:$BX$2,0)),INDEX(Mortalidad_M!$B$3:$BX$93,MATCH(B214,Mortalidad_M!$A$3:$A$93,0),MATCH(MIN(C214,2100),Mortalidad_M!$B$2:$BX$2,0))),1)</f>
        <v/>
      </c>
      <c r="E214" s="15">
        <f>1-(1-D214)^(1/12)</f>
        <v/>
      </c>
      <c r="F214" s="16">
        <f>F213*(1-E213)</f>
        <v/>
      </c>
      <c r="G214" s="16">
        <f>1/(1+$C$7)^(A214/12)</f>
        <v/>
      </c>
      <c r="H214" s="16">
        <f>F214*G214</f>
        <v/>
      </c>
    </row>
    <row r="215">
      <c r="A215" s="14" t="n">
        <v>203</v>
      </c>
      <c r="B215">
        <f>$C$5+INT(A215/12)</f>
        <v/>
      </c>
      <c r="C215">
        <f>Parametros!$B$5+INT(A215/12)</f>
        <v/>
      </c>
      <c r="D215" s="15">
        <f>IFERROR(IF($C$4="H",INDEX(Mortalidad_H!$B$3:$BX$113,MATCH(B215,Mortalidad_H!$A$3:$A$113,0),MATCH(MIN(C215,2100),Mortalidad_H!$B$2:$BX$2,0)),INDEX(Mortalidad_M!$B$3:$BX$93,MATCH(B215,Mortalidad_M!$A$3:$A$93,0),MATCH(MIN(C215,2100),Mortalidad_M!$B$2:$BX$2,0))),1)</f>
        <v/>
      </c>
      <c r="E215" s="15">
        <f>1-(1-D215)^(1/12)</f>
        <v/>
      </c>
      <c r="F215" s="16">
        <f>F214*(1-E214)</f>
        <v/>
      </c>
      <c r="G215" s="16">
        <f>1/(1+$C$7)^(A215/12)</f>
        <v/>
      </c>
      <c r="H215" s="16">
        <f>F215*G215</f>
        <v/>
      </c>
    </row>
    <row r="216">
      <c r="A216" s="14" t="n">
        <v>204</v>
      </c>
      <c r="B216">
        <f>$C$5+INT(A216/12)</f>
        <v/>
      </c>
      <c r="C216">
        <f>Parametros!$B$5+INT(A216/12)</f>
        <v/>
      </c>
      <c r="D216" s="15">
        <f>IFERROR(IF($C$4="H",INDEX(Mortalidad_H!$B$3:$BX$113,MATCH(B216,Mortalidad_H!$A$3:$A$113,0),MATCH(MIN(C216,2100),Mortalidad_H!$B$2:$BX$2,0)),INDEX(Mortalidad_M!$B$3:$BX$93,MATCH(B216,Mortalidad_M!$A$3:$A$93,0),MATCH(MIN(C216,2100),Mortalidad_M!$B$2:$BX$2,0))),1)</f>
        <v/>
      </c>
      <c r="E216" s="15">
        <f>1-(1-D216)^(1/12)</f>
        <v/>
      </c>
      <c r="F216" s="16">
        <f>F215*(1-E215)</f>
        <v/>
      </c>
      <c r="G216" s="16">
        <f>1/(1+$C$7)^(A216/12)</f>
        <v/>
      </c>
      <c r="H216" s="16">
        <f>F216*G216</f>
        <v/>
      </c>
    </row>
    <row r="217">
      <c r="A217" s="14" t="n">
        <v>205</v>
      </c>
      <c r="B217">
        <f>$C$5+INT(A217/12)</f>
        <v/>
      </c>
      <c r="C217">
        <f>Parametros!$B$5+INT(A217/12)</f>
        <v/>
      </c>
      <c r="D217" s="15">
        <f>IFERROR(IF($C$4="H",INDEX(Mortalidad_H!$B$3:$BX$113,MATCH(B217,Mortalidad_H!$A$3:$A$113,0),MATCH(MIN(C217,2100),Mortalidad_H!$B$2:$BX$2,0)),INDEX(Mortalidad_M!$B$3:$BX$93,MATCH(B217,Mortalidad_M!$A$3:$A$93,0),MATCH(MIN(C217,2100),Mortalidad_M!$B$2:$BX$2,0))),1)</f>
        <v/>
      </c>
      <c r="E217" s="15">
        <f>1-(1-D217)^(1/12)</f>
        <v/>
      </c>
      <c r="F217" s="16">
        <f>F216*(1-E216)</f>
        <v/>
      </c>
      <c r="G217" s="16">
        <f>1/(1+$C$7)^(A217/12)</f>
        <v/>
      </c>
      <c r="H217" s="16">
        <f>F217*G217</f>
        <v/>
      </c>
    </row>
    <row r="218">
      <c r="A218" s="14" t="n">
        <v>206</v>
      </c>
      <c r="B218">
        <f>$C$5+INT(A218/12)</f>
        <v/>
      </c>
      <c r="C218">
        <f>Parametros!$B$5+INT(A218/12)</f>
        <v/>
      </c>
      <c r="D218" s="15">
        <f>IFERROR(IF($C$4="H",INDEX(Mortalidad_H!$B$3:$BX$113,MATCH(B218,Mortalidad_H!$A$3:$A$113,0),MATCH(MIN(C218,2100),Mortalidad_H!$B$2:$BX$2,0)),INDEX(Mortalidad_M!$B$3:$BX$93,MATCH(B218,Mortalidad_M!$A$3:$A$93,0),MATCH(MIN(C218,2100),Mortalidad_M!$B$2:$BX$2,0))),1)</f>
        <v/>
      </c>
      <c r="E218" s="15">
        <f>1-(1-D218)^(1/12)</f>
        <v/>
      </c>
      <c r="F218" s="16">
        <f>F217*(1-E217)</f>
        <v/>
      </c>
      <c r="G218" s="16">
        <f>1/(1+$C$7)^(A218/12)</f>
        <v/>
      </c>
      <c r="H218" s="16">
        <f>F218*G218</f>
        <v/>
      </c>
    </row>
    <row r="219">
      <c r="A219" s="14" t="n">
        <v>207</v>
      </c>
      <c r="B219">
        <f>$C$5+INT(A219/12)</f>
        <v/>
      </c>
      <c r="C219">
        <f>Parametros!$B$5+INT(A219/12)</f>
        <v/>
      </c>
      <c r="D219" s="15">
        <f>IFERROR(IF($C$4="H",INDEX(Mortalidad_H!$B$3:$BX$113,MATCH(B219,Mortalidad_H!$A$3:$A$113,0),MATCH(MIN(C219,2100),Mortalidad_H!$B$2:$BX$2,0)),INDEX(Mortalidad_M!$B$3:$BX$93,MATCH(B219,Mortalidad_M!$A$3:$A$93,0),MATCH(MIN(C219,2100),Mortalidad_M!$B$2:$BX$2,0))),1)</f>
        <v/>
      </c>
      <c r="E219" s="15">
        <f>1-(1-D219)^(1/12)</f>
        <v/>
      </c>
      <c r="F219" s="16">
        <f>F218*(1-E218)</f>
        <v/>
      </c>
      <c r="G219" s="16">
        <f>1/(1+$C$7)^(A219/12)</f>
        <v/>
      </c>
      <c r="H219" s="16">
        <f>F219*G219</f>
        <v/>
      </c>
    </row>
    <row r="220">
      <c r="A220" s="14" t="n">
        <v>208</v>
      </c>
      <c r="B220">
        <f>$C$5+INT(A220/12)</f>
        <v/>
      </c>
      <c r="C220">
        <f>Parametros!$B$5+INT(A220/12)</f>
        <v/>
      </c>
      <c r="D220" s="15">
        <f>IFERROR(IF($C$4="H",INDEX(Mortalidad_H!$B$3:$BX$113,MATCH(B220,Mortalidad_H!$A$3:$A$113,0),MATCH(MIN(C220,2100),Mortalidad_H!$B$2:$BX$2,0)),INDEX(Mortalidad_M!$B$3:$BX$93,MATCH(B220,Mortalidad_M!$A$3:$A$93,0),MATCH(MIN(C220,2100),Mortalidad_M!$B$2:$BX$2,0))),1)</f>
        <v/>
      </c>
      <c r="E220" s="15">
        <f>1-(1-D220)^(1/12)</f>
        <v/>
      </c>
      <c r="F220" s="16">
        <f>F219*(1-E219)</f>
        <v/>
      </c>
      <c r="G220" s="16">
        <f>1/(1+$C$7)^(A220/12)</f>
        <v/>
      </c>
      <c r="H220" s="16">
        <f>F220*G220</f>
        <v/>
      </c>
    </row>
    <row r="221">
      <c r="A221" s="14" t="n">
        <v>209</v>
      </c>
      <c r="B221">
        <f>$C$5+INT(A221/12)</f>
        <v/>
      </c>
      <c r="C221">
        <f>Parametros!$B$5+INT(A221/12)</f>
        <v/>
      </c>
      <c r="D221" s="15">
        <f>IFERROR(IF($C$4="H",INDEX(Mortalidad_H!$B$3:$BX$113,MATCH(B221,Mortalidad_H!$A$3:$A$113,0),MATCH(MIN(C221,2100),Mortalidad_H!$B$2:$BX$2,0)),INDEX(Mortalidad_M!$B$3:$BX$93,MATCH(B221,Mortalidad_M!$A$3:$A$93,0),MATCH(MIN(C221,2100),Mortalidad_M!$B$2:$BX$2,0))),1)</f>
        <v/>
      </c>
      <c r="E221" s="15">
        <f>1-(1-D221)^(1/12)</f>
        <v/>
      </c>
      <c r="F221" s="16">
        <f>F220*(1-E220)</f>
        <v/>
      </c>
      <c r="G221" s="16">
        <f>1/(1+$C$7)^(A221/12)</f>
        <v/>
      </c>
      <c r="H221" s="16">
        <f>F221*G221</f>
        <v/>
      </c>
    </row>
    <row r="222">
      <c r="A222" s="14" t="n">
        <v>210</v>
      </c>
      <c r="B222">
        <f>$C$5+INT(A222/12)</f>
        <v/>
      </c>
      <c r="C222">
        <f>Parametros!$B$5+INT(A222/12)</f>
        <v/>
      </c>
      <c r="D222" s="15">
        <f>IFERROR(IF($C$4="H",INDEX(Mortalidad_H!$B$3:$BX$113,MATCH(B222,Mortalidad_H!$A$3:$A$113,0),MATCH(MIN(C222,2100),Mortalidad_H!$B$2:$BX$2,0)),INDEX(Mortalidad_M!$B$3:$BX$93,MATCH(B222,Mortalidad_M!$A$3:$A$93,0),MATCH(MIN(C222,2100),Mortalidad_M!$B$2:$BX$2,0))),1)</f>
        <v/>
      </c>
      <c r="E222" s="15">
        <f>1-(1-D222)^(1/12)</f>
        <v/>
      </c>
      <c r="F222" s="16">
        <f>F221*(1-E221)</f>
        <v/>
      </c>
      <c r="G222" s="16">
        <f>1/(1+$C$7)^(A222/12)</f>
        <v/>
      </c>
      <c r="H222" s="16">
        <f>F222*G222</f>
        <v/>
      </c>
    </row>
    <row r="223">
      <c r="A223" s="14" t="n">
        <v>211</v>
      </c>
      <c r="B223">
        <f>$C$5+INT(A223/12)</f>
        <v/>
      </c>
      <c r="C223">
        <f>Parametros!$B$5+INT(A223/12)</f>
        <v/>
      </c>
      <c r="D223" s="15">
        <f>IFERROR(IF($C$4="H",INDEX(Mortalidad_H!$B$3:$BX$113,MATCH(B223,Mortalidad_H!$A$3:$A$113,0),MATCH(MIN(C223,2100),Mortalidad_H!$B$2:$BX$2,0)),INDEX(Mortalidad_M!$B$3:$BX$93,MATCH(B223,Mortalidad_M!$A$3:$A$93,0),MATCH(MIN(C223,2100),Mortalidad_M!$B$2:$BX$2,0))),1)</f>
        <v/>
      </c>
      <c r="E223" s="15">
        <f>1-(1-D223)^(1/12)</f>
        <v/>
      </c>
      <c r="F223" s="16">
        <f>F222*(1-E222)</f>
        <v/>
      </c>
      <c r="G223" s="16">
        <f>1/(1+$C$7)^(A223/12)</f>
        <v/>
      </c>
      <c r="H223" s="16">
        <f>F223*G223</f>
        <v/>
      </c>
    </row>
    <row r="224">
      <c r="A224" s="14" t="n">
        <v>212</v>
      </c>
      <c r="B224">
        <f>$C$5+INT(A224/12)</f>
        <v/>
      </c>
      <c r="C224">
        <f>Parametros!$B$5+INT(A224/12)</f>
        <v/>
      </c>
      <c r="D224" s="15">
        <f>IFERROR(IF($C$4="H",INDEX(Mortalidad_H!$B$3:$BX$113,MATCH(B224,Mortalidad_H!$A$3:$A$113,0),MATCH(MIN(C224,2100),Mortalidad_H!$B$2:$BX$2,0)),INDEX(Mortalidad_M!$B$3:$BX$93,MATCH(B224,Mortalidad_M!$A$3:$A$93,0),MATCH(MIN(C224,2100),Mortalidad_M!$B$2:$BX$2,0))),1)</f>
        <v/>
      </c>
      <c r="E224" s="15">
        <f>1-(1-D224)^(1/12)</f>
        <v/>
      </c>
      <c r="F224" s="16">
        <f>F223*(1-E223)</f>
        <v/>
      </c>
      <c r="G224" s="16">
        <f>1/(1+$C$7)^(A224/12)</f>
        <v/>
      </c>
      <c r="H224" s="16">
        <f>F224*G224</f>
        <v/>
      </c>
    </row>
    <row r="225">
      <c r="A225" s="14" t="n">
        <v>213</v>
      </c>
      <c r="B225">
        <f>$C$5+INT(A225/12)</f>
        <v/>
      </c>
      <c r="C225">
        <f>Parametros!$B$5+INT(A225/12)</f>
        <v/>
      </c>
      <c r="D225" s="15">
        <f>IFERROR(IF($C$4="H",INDEX(Mortalidad_H!$B$3:$BX$113,MATCH(B225,Mortalidad_H!$A$3:$A$113,0),MATCH(MIN(C225,2100),Mortalidad_H!$B$2:$BX$2,0)),INDEX(Mortalidad_M!$B$3:$BX$93,MATCH(B225,Mortalidad_M!$A$3:$A$93,0),MATCH(MIN(C225,2100),Mortalidad_M!$B$2:$BX$2,0))),1)</f>
        <v/>
      </c>
      <c r="E225" s="15">
        <f>1-(1-D225)^(1/12)</f>
        <v/>
      </c>
      <c r="F225" s="16">
        <f>F224*(1-E224)</f>
        <v/>
      </c>
      <c r="G225" s="16">
        <f>1/(1+$C$7)^(A225/12)</f>
        <v/>
      </c>
      <c r="H225" s="16">
        <f>F225*G225</f>
        <v/>
      </c>
    </row>
    <row r="226">
      <c r="A226" s="14" t="n">
        <v>214</v>
      </c>
      <c r="B226">
        <f>$C$5+INT(A226/12)</f>
        <v/>
      </c>
      <c r="C226">
        <f>Parametros!$B$5+INT(A226/12)</f>
        <v/>
      </c>
      <c r="D226" s="15">
        <f>IFERROR(IF($C$4="H",INDEX(Mortalidad_H!$B$3:$BX$113,MATCH(B226,Mortalidad_H!$A$3:$A$113,0),MATCH(MIN(C226,2100),Mortalidad_H!$B$2:$BX$2,0)),INDEX(Mortalidad_M!$B$3:$BX$93,MATCH(B226,Mortalidad_M!$A$3:$A$93,0),MATCH(MIN(C226,2100),Mortalidad_M!$B$2:$BX$2,0))),1)</f>
        <v/>
      </c>
      <c r="E226" s="15">
        <f>1-(1-D226)^(1/12)</f>
        <v/>
      </c>
      <c r="F226" s="16">
        <f>F225*(1-E225)</f>
        <v/>
      </c>
      <c r="G226" s="16">
        <f>1/(1+$C$7)^(A226/12)</f>
        <v/>
      </c>
      <c r="H226" s="16">
        <f>F226*G226</f>
        <v/>
      </c>
    </row>
    <row r="227">
      <c r="A227" s="14" t="n">
        <v>215</v>
      </c>
      <c r="B227">
        <f>$C$5+INT(A227/12)</f>
        <v/>
      </c>
      <c r="C227">
        <f>Parametros!$B$5+INT(A227/12)</f>
        <v/>
      </c>
      <c r="D227" s="15">
        <f>IFERROR(IF($C$4="H",INDEX(Mortalidad_H!$B$3:$BX$113,MATCH(B227,Mortalidad_H!$A$3:$A$113,0),MATCH(MIN(C227,2100),Mortalidad_H!$B$2:$BX$2,0)),INDEX(Mortalidad_M!$B$3:$BX$93,MATCH(B227,Mortalidad_M!$A$3:$A$93,0),MATCH(MIN(C227,2100),Mortalidad_M!$B$2:$BX$2,0))),1)</f>
        <v/>
      </c>
      <c r="E227" s="15">
        <f>1-(1-D227)^(1/12)</f>
        <v/>
      </c>
      <c r="F227" s="16">
        <f>F226*(1-E226)</f>
        <v/>
      </c>
      <c r="G227" s="16">
        <f>1/(1+$C$7)^(A227/12)</f>
        <v/>
      </c>
      <c r="H227" s="16">
        <f>F227*G227</f>
        <v/>
      </c>
    </row>
    <row r="228">
      <c r="A228" s="14" t="n">
        <v>216</v>
      </c>
      <c r="B228">
        <f>$C$5+INT(A228/12)</f>
        <v/>
      </c>
      <c r="C228">
        <f>Parametros!$B$5+INT(A228/12)</f>
        <v/>
      </c>
      <c r="D228" s="15">
        <f>IFERROR(IF($C$4="H",INDEX(Mortalidad_H!$B$3:$BX$113,MATCH(B228,Mortalidad_H!$A$3:$A$113,0),MATCH(MIN(C228,2100),Mortalidad_H!$B$2:$BX$2,0)),INDEX(Mortalidad_M!$B$3:$BX$93,MATCH(B228,Mortalidad_M!$A$3:$A$93,0),MATCH(MIN(C228,2100),Mortalidad_M!$B$2:$BX$2,0))),1)</f>
        <v/>
      </c>
      <c r="E228" s="15">
        <f>1-(1-D228)^(1/12)</f>
        <v/>
      </c>
      <c r="F228" s="16">
        <f>F227*(1-E227)</f>
        <v/>
      </c>
      <c r="G228" s="16">
        <f>1/(1+$C$7)^(A228/12)</f>
        <v/>
      </c>
      <c r="H228" s="16">
        <f>F228*G228</f>
        <v/>
      </c>
    </row>
    <row r="229">
      <c r="A229" s="14" t="n">
        <v>217</v>
      </c>
      <c r="B229">
        <f>$C$5+INT(A229/12)</f>
        <v/>
      </c>
      <c r="C229">
        <f>Parametros!$B$5+INT(A229/12)</f>
        <v/>
      </c>
      <c r="D229" s="15">
        <f>IFERROR(IF($C$4="H",INDEX(Mortalidad_H!$B$3:$BX$113,MATCH(B229,Mortalidad_H!$A$3:$A$113,0),MATCH(MIN(C229,2100),Mortalidad_H!$B$2:$BX$2,0)),INDEX(Mortalidad_M!$B$3:$BX$93,MATCH(B229,Mortalidad_M!$A$3:$A$93,0),MATCH(MIN(C229,2100),Mortalidad_M!$B$2:$BX$2,0))),1)</f>
        <v/>
      </c>
      <c r="E229" s="15">
        <f>1-(1-D229)^(1/12)</f>
        <v/>
      </c>
      <c r="F229" s="16">
        <f>F228*(1-E228)</f>
        <v/>
      </c>
      <c r="G229" s="16">
        <f>1/(1+$C$7)^(A229/12)</f>
        <v/>
      </c>
      <c r="H229" s="16">
        <f>F229*G229</f>
        <v/>
      </c>
    </row>
    <row r="230">
      <c r="A230" s="14" t="n">
        <v>218</v>
      </c>
      <c r="B230">
        <f>$C$5+INT(A230/12)</f>
        <v/>
      </c>
      <c r="C230">
        <f>Parametros!$B$5+INT(A230/12)</f>
        <v/>
      </c>
      <c r="D230" s="15">
        <f>IFERROR(IF($C$4="H",INDEX(Mortalidad_H!$B$3:$BX$113,MATCH(B230,Mortalidad_H!$A$3:$A$113,0),MATCH(MIN(C230,2100),Mortalidad_H!$B$2:$BX$2,0)),INDEX(Mortalidad_M!$B$3:$BX$93,MATCH(B230,Mortalidad_M!$A$3:$A$93,0),MATCH(MIN(C230,2100),Mortalidad_M!$B$2:$BX$2,0))),1)</f>
        <v/>
      </c>
      <c r="E230" s="15">
        <f>1-(1-D230)^(1/12)</f>
        <v/>
      </c>
      <c r="F230" s="16">
        <f>F229*(1-E229)</f>
        <v/>
      </c>
      <c r="G230" s="16">
        <f>1/(1+$C$7)^(A230/12)</f>
        <v/>
      </c>
      <c r="H230" s="16">
        <f>F230*G230</f>
        <v/>
      </c>
    </row>
    <row r="231">
      <c r="A231" s="14" t="n">
        <v>219</v>
      </c>
      <c r="B231">
        <f>$C$5+INT(A231/12)</f>
        <v/>
      </c>
      <c r="C231">
        <f>Parametros!$B$5+INT(A231/12)</f>
        <v/>
      </c>
      <c r="D231" s="15">
        <f>IFERROR(IF($C$4="H",INDEX(Mortalidad_H!$B$3:$BX$113,MATCH(B231,Mortalidad_H!$A$3:$A$113,0),MATCH(MIN(C231,2100),Mortalidad_H!$B$2:$BX$2,0)),INDEX(Mortalidad_M!$B$3:$BX$93,MATCH(B231,Mortalidad_M!$A$3:$A$93,0),MATCH(MIN(C231,2100),Mortalidad_M!$B$2:$BX$2,0))),1)</f>
        <v/>
      </c>
      <c r="E231" s="15">
        <f>1-(1-D231)^(1/12)</f>
        <v/>
      </c>
      <c r="F231" s="16">
        <f>F230*(1-E230)</f>
        <v/>
      </c>
      <c r="G231" s="16">
        <f>1/(1+$C$7)^(A231/12)</f>
        <v/>
      </c>
      <c r="H231" s="16">
        <f>F231*G231</f>
        <v/>
      </c>
    </row>
    <row r="232">
      <c r="A232" s="14" t="n">
        <v>220</v>
      </c>
      <c r="B232">
        <f>$C$5+INT(A232/12)</f>
        <v/>
      </c>
      <c r="C232">
        <f>Parametros!$B$5+INT(A232/12)</f>
        <v/>
      </c>
      <c r="D232" s="15">
        <f>IFERROR(IF($C$4="H",INDEX(Mortalidad_H!$B$3:$BX$113,MATCH(B232,Mortalidad_H!$A$3:$A$113,0),MATCH(MIN(C232,2100),Mortalidad_H!$B$2:$BX$2,0)),INDEX(Mortalidad_M!$B$3:$BX$93,MATCH(B232,Mortalidad_M!$A$3:$A$93,0),MATCH(MIN(C232,2100),Mortalidad_M!$B$2:$BX$2,0))),1)</f>
        <v/>
      </c>
      <c r="E232" s="15">
        <f>1-(1-D232)^(1/12)</f>
        <v/>
      </c>
      <c r="F232" s="16">
        <f>F231*(1-E231)</f>
        <v/>
      </c>
      <c r="G232" s="16">
        <f>1/(1+$C$7)^(A232/12)</f>
        <v/>
      </c>
      <c r="H232" s="16">
        <f>F232*G232</f>
        <v/>
      </c>
    </row>
    <row r="233">
      <c r="A233" s="14" t="n">
        <v>221</v>
      </c>
      <c r="B233">
        <f>$C$5+INT(A233/12)</f>
        <v/>
      </c>
      <c r="C233">
        <f>Parametros!$B$5+INT(A233/12)</f>
        <v/>
      </c>
      <c r="D233" s="15">
        <f>IFERROR(IF($C$4="H",INDEX(Mortalidad_H!$B$3:$BX$113,MATCH(B233,Mortalidad_H!$A$3:$A$113,0),MATCH(MIN(C233,2100),Mortalidad_H!$B$2:$BX$2,0)),INDEX(Mortalidad_M!$B$3:$BX$93,MATCH(B233,Mortalidad_M!$A$3:$A$93,0),MATCH(MIN(C233,2100),Mortalidad_M!$B$2:$BX$2,0))),1)</f>
        <v/>
      </c>
      <c r="E233" s="15">
        <f>1-(1-D233)^(1/12)</f>
        <v/>
      </c>
      <c r="F233" s="16">
        <f>F232*(1-E232)</f>
        <v/>
      </c>
      <c r="G233" s="16">
        <f>1/(1+$C$7)^(A233/12)</f>
        <v/>
      </c>
      <c r="H233" s="16">
        <f>F233*G233</f>
        <v/>
      </c>
    </row>
    <row r="234">
      <c r="A234" s="14" t="n">
        <v>222</v>
      </c>
      <c r="B234">
        <f>$C$5+INT(A234/12)</f>
        <v/>
      </c>
      <c r="C234">
        <f>Parametros!$B$5+INT(A234/12)</f>
        <v/>
      </c>
      <c r="D234" s="15">
        <f>IFERROR(IF($C$4="H",INDEX(Mortalidad_H!$B$3:$BX$113,MATCH(B234,Mortalidad_H!$A$3:$A$113,0),MATCH(MIN(C234,2100),Mortalidad_H!$B$2:$BX$2,0)),INDEX(Mortalidad_M!$B$3:$BX$93,MATCH(B234,Mortalidad_M!$A$3:$A$93,0),MATCH(MIN(C234,2100),Mortalidad_M!$B$2:$BX$2,0))),1)</f>
        <v/>
      </c>
      <c r="E234" s="15">
        <f>1-(1-D234)^(1/12)</f>
        <v/>
      </c>
      <c r="F234" s="16">
        <f>F233*(1-E233)</f>
        <v/>
      </c>
      <c r="G234" s="16">
        <f>1/(1+$C$7)^(A234/12)</f>
        <v/>
      </c>
      <c r="H234" s="16">
        <f>F234*G234</f>
        <v/>
      </c>
    </row>
    <row r="235">
      <c r="A235" s="14" t="n">
        <v>223</v>
      </c>
      <c r="B235">
        <f>$C$5+INT(A235/12)</f>
        <v/>
      </c>
      <c r="C235">
        <f>Parametros!$B$5+INT(A235/12)</f>
        <v/>
      </c>
      <c r="D235" s="15">
        <f>IFERROR(IF($C$4="H",INDEX(Mortalidad_H!$B$3:$BX$113,MATCH(B235,Mortalidad_H!$A$3:$A$113,0),MATCH(MIN(C235,2100),Mortalidad_H!$B$2:$BX$2,0)),INDEX(Mortalidad_M!$B$3:$BX$93,MATCH(B235,Mortalidad_M!$A$3:$A$93,0),MATCH(MIN(C235,2100),Mortalidad_M!$B$2:$BX$2,0))),1)</f>
        <v/>
      </c>
      <c r="E235" s="15">
        <f>1-(1-D235)^(1/12)</f>
        <v/>
      </c>
      <c r="F235" s="16">
        <f>F234*(1-E234)</f>
        <v/>
      </c>
      <c r="G235" s="16">
        <f>1/(1+$C$7)^(A235/12)</f>
        <v/>
      </c>
      <c r="H235" s="16">
        <f>F235*G235</f>
        <v/>
      </c>
    </row>
    <row r="236">
      <c r="A236" s="14" t="n">
        <v>224</v>
      </c>
      <c r="B236">
        <f>$C$5+INT(A236/12)</f>
        <v/>
      </c>
      <c r="C236">
        <f>Parametros!$B$5+INT(A236/12)</f>
        <v/>
      </c>
      <c r="D236" s="15">
        <f>IFERROR(IF($C$4="H",INDEX(Mortalidad_H!$B$3:$BX$113,MATCH(B236,Mortalidad_H!$A$3:$A$113,0),MATCH(MIN(C236,2100),Mortalidad_H!$B$2:$BX$2,0)),INDEX(Mortalidad_M!$B$3:$BX$93,MATCH(B236,Mortalidad_M!$A$3:$A$93,0),MATCH(MIN(C236,2100),Mortalidad_M!$B$2:$BX$2,0))),1)</f>
        <v/>
      </c>
      <c r="E236" s="15">
        <f>1-(1-D236)^(1/12)</f>
        <v/>
      </c>
      <c r="F236" s="16">
        <f>F235*(1-E235)</f>
        <v/>
      </c>
      <c r="G236" s="16">
        <f>1/(1+$C$7)^(A236/12)</f>
        <v/>
      </c>
      <c r="H236" s="16">
        <f>F236*G236</f>
        <v/>
      </c>
    </row>
    <row r="237">
      <c r="A237" s="14" t="n">
        <v>225</v>
      </c>
      <c r="B237">
        <f>$C$5+INT(A237/12)</f>
        <v/>
      </c>
      <c r="C237">
        <f>Parametros!$B$5+INT(A237/12)</f>
        <v/>
      </c>
      <c r="D237" s="15">
        <f>IFERROR(IF($C$4="H",INDEX(Mortalidad_H!$B$3:$BX$113,MATCH(B237,Mortalidad_H!$A$3:$A$113,0),MATCH(MIN(C237,2100),Mortalidad_H!$B$2:$BX$2,0)),INDEX(Mortalidad_M!$B$3:$BX$93,MATCH(B237,Mortalidad_M!$A$3:$A$93,0),MATCH(MIN(C237,2100),Mortalidad_M!$B$2:$BX$2,0))),1)</f>
        <v/>
      </c>
      <c r="E237" s="15">
        <f>1-(1-D237)^(1/12)</f>
        <v/>
      </c>
      <c r="F237" s="16">
        <f>F236*(1-E236)</f>
        <v/>
      </c>
      <c r="G237" s="16">
        <f>1/(1+$C$7)^(A237/12)</f>
        <v/>
      </c>
      <c r="H237" s="16">
        <f>F237*G237</f>
        <v/>
      </c>
    </row>
    <row r="238">
      <c r="A238" s="14" t="n">
        <v>226</v>
      </c>
      <c r="B238">
        <f>$C$5+INT(A238/12)</f>
        <v/>
      </c>
      <c r="C238">
        <f>Parametros!$B$5+INT(A238/12)</f>
        <v/>
      </c>
      <c r="D238" s="15">
        <f>IFERROR(IF($C$4="H",INDEX(Mortalidad_H!$B$3:$BX$113,MATCH(B238,Mortalidad_H!$A$3:$A$113,0),MATCH(MIN(C238,2100),Mortalidad_H!$B$2:$BX$2,0)),INDEX(Mortalidad_M!$B$3:$BX$93,MATCH(B238,Mortalidad_M!$A$3:$A$93,0),MATCH(MIN(C238,2100),Mortalidad_M!$B$2:$BX$2,0))),1)</f>
        <v/>
      </c>
      <c r="E238" s="15">
        <f>1-(1-D238)^(1/12)</f>
        <v/>
      </c>
      <c r="F238" s="16">
        <f>F237*(1-E237)</f>
        <v/>
      </c>
      <c r="G238" s="16">
        <f>1/(1+$C$7)^(A238/12)</f>
        <v/>
      </c>
      <c r="H238" s="16">
        <f>F238*G238</f>
        <v/>
      </c>
    </row>
    <row r="239">
      <c r="A239" s="14" t="n">
        <v>227</v>
      </c>
      <c r="B239">
        <f>$C$5+INT(A239/12)</f>
        <v/>
      </c>
      <c r="C239">
        <f>Parametros!$B$5+INT(A239/12)</f>
        <v/>
      </c>
      <c r="D239" s="15">
        <f>IFERROR(IF($C$4="H",INDEX(Mortalidad_H!$B$3:$BX$113,MATCH(B239,Mortalidad_H!$A$3:$A$113,0),MATCH(MIN(C239,2100),Mortalidad_H!$B$2:$BX$2,0)),INDEX(Mortalidad_M!$B$3:$BX$93,MATCH(B239,Mortalidad_M!$A$3:$A$93,0),MATCH(MIN(C239,2100),Mortalidad_M!$B$2:$BX$2,0))),1)</f>
        <v/>
      </c>
      <c r="E239" s="15">
        <f>1-(1-D239)^(1/12)</f>
        <v/>
      </c>
      <c r="F239" s="16">
        <f>F238*(1-E238)</f>
        <v/>
      </c>
      <c r="G239" s="16">
        <f>1/(1+$C$7)^(A239/12)</f>
        <v/>
      </c>
      <c r="H239" s="16">
        <f>F239*G239</f>
        <v/>
      </c>
    </row>
    <row r="240">
      <c r="A240" s="14" t="n">
        <v>228</v>
      </c>
      <c r="B240">
        <f>$C$5+INT(A240/12)</f>
        <v/>
      </c>
      <c r="C240">
        <f>Parametros!$B$5+INT(A240/12)</f>
        <v/>
      </c>
      <c r="D240" s="15">
        <f>IFERROR(IF($C$4="H",INDEX(Mortalidad_H!$B$3:$BX$113,MATCH(B240,Mortalidad_H!$A$3:$A$113,0),MATCH(MIN(C240,2100),Mortalidad_H!$B$2:$BX$2,0)),INDEX(Mortalidad_M!$B$3:$BX$93,MATCH(B240,Mortalidad_M!$A$3:$A$93,0),MATCH(MIN(C240,2100),Mortalidad_M!$B$2:$BX$2,0))),1)</f>
        <v/>
      </c>
      <c r="E240" s="15">
        <f>1-(1-D240)^(1/12)</f>
        <v/>
      </c>
      <c r="F240" s="16">
        <f>F239*(1-E239)</f>
        <v/>
      </c>
      <c r="G240" s="16">
        <f>1/(1+$C$7)^(A240/12)</f>
        <v/>
      </c>
      <c r="H240" s="16">
        <f>F240*G240</f>
        <v/>
      </c>
    </row>
    <row r="241">
      <c r="A241" s="14" t="n">
        <v>229</v>
      </c>
      <c r="B241">
        <f>$C$5+INT(A241/12)</f>
        <v/>
      </c>
      <c r="C241">
        <f>Parametros!$B$5+INT(A241/12)</f>
        <v/>
      </c>
      <c r="D241" s="15">
        <f>IFERROR(IF($C$4="H",INDEX(Mortalidad_H!$B$3:$BX$113,MATCH(B241,Mortalidad_H!$A$3:$A$113,0),MATCH(MIN(C241,2100),Mortalidad_H!$B$2:$BX$2,0)),INDEX(Mortalidad_M!$B$3:$BX$93,MATCH(B241,Mortalidad_M!$A$3:$A$93,0),MATCH(MIN(C241,2100),Mortalidad_M!$B$2:$BX$2,0))),1)</f>
        <v/>
      </c>
      <c r="E241" s="15">
        <f>1-(1-D241)^(1/12)</f>
        <v/>
      </c>
      <c r="F241" s="16">
        <f>F240*(1-E240)</f>
        <v/>
      </c>
      <c r="G241" s="16">
        <f>1/(1+$C$7)^(A241/12)</f>
        <v/>
      </c>
      <c r="H241" s="16">
        <f>F241*G241</f>
        <v/>
      </c>
    </row>
    <row r="242">
      <c r="A242" s="14" t="n">
        <v>230</v>
      </c>
      <c r="B242">
        <f>$C$5+INT(A242/12)</f>
        <v/>
      </c>
      <c r="C242">
        <f>Parametros!$B$5+INT(A242/12)</f>
        <v/>
      </c>
      <c r="D242" s="15">
        <f>IFERROR(IF($C$4="H",INDEX(Mortalidad_H!$B$3:$BX$113,MATCH(B242,Mortalidad_H!$A$3:$A$113,0),MATCH(MIN(C242,2100),Mortalidad_H!$B$2:$BX$2,0)),INDEX(Mortalidad_M!$B$3:$BX$93,MATCH(B242,Mortalidad_M!$A$3:$A$93,0),MATCH(MIN(C242,2100),Mortalidad_M!$B$2:$BX$2,0))),1)</f>
        <v/>
      </c>
      <c r="E242" s="15">
        <f>1-(1-D242)^(1/12)</f>
        <v/>
      </c>
      <c r="F242" s="16">
        <f>F241*(1-E241)</f>
        <v/>
      </c>
      <c r="G242" s="16">
        <f>1/(1+$C$7)^(A242/12)</f>
        <v/>
      </c>
      <c r="H242" s="16">
        <f>F242*G242</f>
        <v/>
      </c>
    </row>
    <row r="243">
      <c r="A243" s="14" t="n">
        <v>231</v>
      </c>
      <c r="B243">
        <f>$C$5+INT(A243/12)</f>
        <v/>
      </c>
      <c r="C243">
        <f>Parametros!$B$5+INT(A243/12)</f>
        <v/>
      </c>
      <c r="D243" s="15">
        <f>IFERROR(IF($C$4="H",INDEX(Mortalidad_H!$B$3:$BX$113,MATCH(B243,Mortalidad_H!$A$3:$A$113,0),MATCH(MIN(C243,2100),Mortalidad_H!$B$2:$BX$2,0)),INDEX(Mortalidad_M!$B$3:$BX$93,MATCH(B243,Mortalidad_M!$A$3:$A$93,0),MATCH(MIN(C243,2100),Mortalidad_M!$B$2:$BX$2,0))),1)</f>
        <v/>
      </c>
      <c r="E243" s="15">
        <f>1-(1-D243)^(1/12)</f>
        <v/>
      </c>
      <c r="F243" s="16">
        <f>F242*(1-E242)</f>
        <v/>
      </c>
      <c r="G243" s="16">
        <f>1/(1+$C$7)^(A243/12)</f>
        <v/>
      </c>
      <c r="H243" s="16">
        <f>F243*G243</f>
        <v/>
      </c>
    </row>
    <row r="244">
      <c r="A244" s="14" t="n">
        <v>232</v>
      </c>
      <c r="B244">
        <f>$C$5+INT(A244/12)</f>
        <v/>
      </c>
      <c r="C244">
        <f>Parametros!$B$5+INT(A244/12)</f>
        <v/>
      </c>
      <c r="D244" s="15">
        <f>IFERROR(IF($C$4="H",INDEX(Mortalidad_H!$B$3:$BX$113,MATCH(B244,Mortalidad_H!$A$3:$A$113,0),MATCH(MIN(C244,2100),Mortalidad_H!$B$2:$BX$2,0)),INDEX(Mortalidad_M!$B$3:$BX$93,MATCH(B244,Mortalidad_M!$A$3:$A$93,0),MATCH(MIN(C244,2100),Mortalidad_M!$B$2:$BX$2,0))),1)</f>
        <v/>
      </c>
      <c r="E244" s="15">
        <f>1-(1-D244)^(1/12)</f>
        <v/>
      </c>
      <c r="F244" s="16">
        <f>F243*(1-E243)</f>
        <v/>
      </c>
      <c r="G244" s="16">
        <f>1/(1+$C$7)^(A244/12)</f>
        <v/>
      </c>
      <c r="H244" s="16">
        <f>F244*G244</f>
        <v/>
      </c>
    </row>
    <row r="245">
      <c r="A245" s="14" t="n">
        <v>233</v>
      </c>
      <c r="B245">
        <f>$C$5+INT(A245/12)</f>
        <v/>
      </c>
      <c r="C245">
        <f>Parametros!$B$5+INT(A245/12)</f>
        <v/>
      </c>
      <c r="D245" s="15">
        <f>IFERROR(IF($C$4="H",INDEX(Mortalidad_H!$B$3:$BX$113,MATCH(B245,Mortalidad_H!$A$3:$A$113,0),MATCH(MIN(C245,2100),Mortalidad_H!$B$2:$BX$2,0)),INDEX(Mortalidad_M!$B$3:$BX$93,MATCH(B245,Mortalidad_M!$A$3:$A$93,0),MATCH(MIN(C245,2100),Mortalidad_M!$B$2:$BX$2,0))),1)</f>
        <v/>
      </c>
      <c r="E245" s="15">
        <f>1-(1-D245)^(1/12)</f>
        <v/>
      </c>
      <c r="F245" s="16">
        <f>F244*(1-E244)</f>
        <v/>
      </c>
      <c r="G245" s="16">
        <f>1/(1+$C$7)^(A245/12)</f>
        <v/>
      </c>
      <c r="H245" s="16">
        <f>F245*G245</f>
        <v/>
      </c>
    </row>
    <row r="246">
      <c r="A246" s="14" t="n">
        <v>234</v>
      </c>
      <c r="B246">
        <f>$C$5+INT(A246/12)</f>
        <v/>
      </c>
      <c r="C246">
        <f>Parametros!$B$5+INT(A246/12)</f>
        <v/>
      </c>
      <c r="D246" s="15">
        <f>IFERROR(IF($C$4="H",INDEX(Mortalidad_H!$B$3:$BX$113,MATCH(B246,Mortalidad_H!$A$3:$A$113,0),MATCH(MIN(C246,2100),Mortalidad_H!$B$2:$BX$2,0)),INDEX(Mortalidad_M!$B$3:$BX$93,MATCH(B246,Mortalidad_M!$A$3:$A$93,0),MATCH(MIN(C246,2100),Mortalidad_M!$B$2:$BX$2,0))),1)</f>
        <v/>
      </c>
      <c r="E246" s="15">
        <f>1-(1-D246)^(1/12)</f>
        <v/>
      </c>
      <c r="F246" s="16">
        <f>F245*(1-E245)</f>
        <v/>
      </c>
      <c r="G246" s="16">
        <f>1/(1+$C$7)^(A246/12)</f>
        <v/>
      </c>
      <c r="H246" s="16">
        <f>F246*G246</f>
        <v/>
      </c>
    </row>
    <row r="247">
      <c r="A247" s="14" t="n">
        <v>235</v>
      </c>
      <c r="B247">
        <f>$C$5+INT(A247/12)</f>
        <v/>
      </c>
      <c r="C247">
        <f>Parametros!$B$5+INT(A247/12)</f>
        <v/>
      </c>
      <c r="D247" s="15">
        <f>IFERROR(IF($C$4="H",INDEX(Mortalidad_H!$B$3:$BX$113,MATCH(B247,Mortalidad_H!$A$3:$A$113,0),MATCH(MIN(C247,2100),Mortalidad_H!$B$2:$BX$2,0)),INDEX(Mortalidad_M!$B$3:$BX$93,MATCH(B247,Mortalidad_M!$A$3:$A$93,0),MATCH(MIN(C247,2100),Mortalidad_M!$B$2:$BX$2,0))),1)</f>
        <v/>
      </c>
      <c r="E247" s="15">
        <f>1-(1-D247)^(1/12)</f>
        <v/>
      </c>
      <c r="F247" s="16">
        <f>F246*(1-E246)</f>
        <v/>
      </c>
      <c r="G247" s="16">
        <f>1/(1+$C$7)^(A247/12)</f>
        <v/>
      </c>
      <c r="H247" s="16">
        <f>F247*G247</f>
        <v/>
      </c>
    </row>
    <row r="248">
      <c r="A248" s="14" t="n">
        <v>236</v>
      </c>
      <c r="B248">
        <f>$C$5+INT(A248/12)</f>
        <v/>
      </c>
      <c r="C248">
        <f>Parametros!$B$5+INT(A248/12)</f>
        <v/>
      </c>
      <c r="D248" s="15">
        <f>IFERROR(IF($C$4="H",INDEX(Mortalidad_H!$B$3:$BX$113,MATCH(B248,Mortalidad_H!$A$3:$A$113,0),MATCH(MIN(C248,2100),Mortalidad_H!$B$2:$BX$2,0)),INDEX(Mortalidad_M!$B$3:$BX$93,MATCH(B248,Mortalidad_M!$A$3:$A$93,0),MATCH(MIN(C248,2100),Mortalidad_M!$B$2:$BX$2,0))),1)</f>
        <v/>
      </c>
      <c r="E248" s="15">
        <f>1-(1-D248)^(1/12)</f>
        <v/>
      </c>
      <c r="F248" s="16">
        <f>F247*(1-E247)</f>
        <v/>
      </c>
      <c r="G248" s="16">
        <f>1/(1+$C$7)^(A248/12)</f>
        <v/>
      </c>
      <c r="H248" s="16">
        <f>F248*G248</f>
        <v/>
      </c>
    </row>
    <row r="249">
      <c r="A249" s="14" t="n">
        <v>237</v>
      </c>
      <c r="B249">
        <f>$C$5+INT(A249/12)</f>
        <v/>
      </c>
      <c r="C249">
        <f>Parametros!$B$5+INT(A249/12)</f>
        <v/>
      </c>
      <c r="D249" s="15">
        <f>IFERROR(IF($C$4="H",INDEX(Mortalidad_H!$B$3:$BX$113,MATCH(B249,Mortalidad_H!$A$3:$A$113,0),MATCH(MIN(C249,2100),Mortalidad_H!$B$2:$BX$2,0)),INDEX(Mortalidad_M!$B$3:$BX$93,MATCH(B249,Mortalidad_M!$A$3:$A$93,0),MATCH(MIN(C249,2100),Mortalidad_M!$B$2:$BX$2,0))),1)</f>
        <v/>
      </c>
      <c r="E249" s="15">
        <f>1-(1-D249)^(1/12)</f>
        <v/>
      </c>
      <c r="F249" s="16">
        <f>F248*(1-E248)</f>
        <v/>
      </c>
      <c r="G249" s="16">
        <f>1/(1+$C$7)^(A249/12)</f>
        <v/>
      </c>
      <c r="H249" s="16">
        <f>F249*G249</f>
        <v/>
      </c>
    </row>
    <row r="250">
      <c r="A250" s="14" t="n">
        <v>238</v>
      </c>
      <c r="B250">
        <f>$C$5+INT(A250/12)</f>
        <v/>
      </c>
      <c r="C250">
        <f>Parametros!$B$5+INT(A250/12)</f>
        <v/>
      </c>
      <c r="D250" s="15">
        <f>IFERROR(IF($C$4="H",INDEX(Mortalidad_H!$B$3:$BX$113,MATCH(B250,Mortalidad_H!$A$3:$A$113,0),MATCH(MIN(C250,2100),Mortalidad_H!$B$2:$BX$2,0)),INDEX(Mortalidad_M!$B$3:$BX$93,MATCH(B250,Mortalidad_M!$A$3:$A$93,0),MATCH(MIN(C250,2100),Mortalidad_M!$B$2:$BX$2,0))),1)</f>
        <v/>
      </c>
      <c r="E250" s="15">
        <f>1-(1-D250)^(1/12)</f>
        <v/>
      </c>
      <c r="F250" s="16">
        <f>F249*(1-E249)</f>
        <v/>
      </c>
      <c r="G250" s="16">
        <f>1/(1+$C$7)^(A250/12)</f>
        <v/>
      </c>
      <c r="H250" s="16">
        <f>F250*G250</f>
        <v/>
      </c>
    </row>
    <row r="251">
      <c r="A251" s="14" t="n">
        <v>239</v>
      </c>
      <c r="B251">
        <f>$C$5+INT(A251/12)</f>
        <v/>
      </c>
      <c r="C251">
        <f>Parametros!$B$5+INT(A251/12)</f>
        <v/>
      </c>
      <c r="D251" s="15">
        <f>IFERROR(IF($C$4="H",INDEX(Mortalidad_H!$B$3:$BX$113,MATCH(B251,Mortalidad_H!$A$3:$A$113,0),MATCH(MIN(C251,2100),Mortalidad_H!$B$2:$BX$2,0)),INDEX(Mortalidad_M!$B$3:$BX$93,MATCH(B251,Mortalidad_M!$A$3:$A$93,0),MATCH(MIN(C251,2100),Mortalidad_M!$B$2:$BX$2,0))),1)</f>
        <v/>
      </c>
      <c r="E251" s="15">
        <f>1-(1-D251)^(1/12)</f>
        <v/>
      </c>
      <c r="F251" s="16">
        <f>F250*(1-E250)</f>
        <v/>
      </c>
      <c r="G251" s="16">
        <f>1/(1+$C$7)^(A251/12)</f>
        <v/>
      </c>
      <c r="H251" s="16">
        <f>F251*G251</f>
        <v/>
      </c>
    </row>
    <row r="252">
      <c r="A252" s="14" t="n">
        <v>240</v>
      </c>
      <c r="B252">
        <f>$C$5+INT(A252/12)</f>
        <v/>
      </c>
      <c r="C252">
        <f>Parametros!$B$5+INT(A252/12)</f>
        <v/>
      </c>
      <c r="D252" s="15">
        <f>IFERROR(IF($C$4="H",INDEX(Mortalidad_H!$B$3:$BX$113,MATCH(B252,Mortalidad_H!$A$3:$A$113,0),MATCH(MIN(C252,2100),Mortalidad_H!$B$2:$BX$2,0)),INDEX(Mortalidad_M!$B$3:$BX$93,MATCH(B252,Mortalidad_M!$A$3:$A$93,0),MATCH(MIN(C252,2100),Mortalidad_M!$B$2:$BX$2,0))),1)</f>
        <v/>
      </c>
      <c r="E252" s="15">
        <f>1-(1-D252)^(1/12)</f>
        <v/>
      </c>
      <c r="F252" s="16">
        <f>F251*(1-E251)</f>
        <v/>
      </c>
      <c r="G252" s="16">
        <f>1/(1+$C$7)^(A252/12)</f>
        <v/>
      </c>
      <c r="H252" s="16">
        <f>F252*G252</f>
        <v/>
      </c>
    </row>
    <row r="253">
      <c r="A253" s="14" t="n">
        <v>241</v>
      </c>
      <c r="B253">
        <f>$C$5+INT(A253/12)</f>
        <v/>
      </c>
      <c r="C253">
        <f>Parametros!$B$5+INT(A253/12)</f>
        <v/>
      </c>
      <c r="D253" s="15">
        <f>IFERROR(IF($C$4="H",INDEX(Mortalidad_H!$B$3:$BX$113,MATCH(B253,Mortalidad_H!$A$3:$A$113,0),MATCH(MIN(C253,2100),Mortalidad_H!$B$2:$BX$2,0)),INDEX(Mortalidad_M!$B$3:$BX$93,MATCH(B253,Mortalidad_M!$A$3:$A$93,0),MATCH(MIN(C253,2100),Mortalidad_M!$B$2:$BX$2,0))),1)</f>
        <v/>
      </c>
      <c r="E253" s="15">
        <f>1-(1-D253)^(1/12)</f>
        <v/>
      </c>
      <c r="F253" s="16">
        <f>F252*(1-E252)</f>
        <v/>
      </c>
      <c r="G253" s="16">
        <f>1/(1+$C$7)^(A253/12)</f>
        <v/>
      </c>
      <c r="H253" s="16">
        <f>F253*G253</f>
        <v/>
      </c>
    </row>
    <row r="254">
      <c r="A254" s="14" t="n">
        <v>242</v>
      </c>
      <c r="B254">
        <f>$C$5+INT(A254/12)</f>
        <v/>
      </c>
      <c r="C254">
        <f>Parametros!$B$5+INT(A254/12)</f>
        <v/>
      </c>
      <c r="D254" s="15">
        <f>IFERROR(IF($C$4="H",INDEX(Mortalidad_H!$B$3:$BX$113,MATCH(B254,Mortalidad_H!$A$3:$A$113,0),MATCH(MIN(C254,2100),Mortalidad_H!$B$2:$BX$2,0)),INDEX(Mortalidad_M!$B$3:$BX$93,MATCH(B254,Mortalidad_M!$A$3:$A$93,0),MATCH(MIN(C254,2100),Mortalidad_M!$B$2:$BX$2,0))),1)</f>
        <v/>
      </c>
      <c r="E254" s="15">
        <f>1-(1-D254)^(1/12)</f>
        <v/>
      </c>
      <c r="F254" s="16">
        <f>F253*(1-E253)</f>
        <v/>
      </c>
      <c r="G254" s="16">
        <f>1/(1+$C$7)^(A254/12)</f>
        <v/>
      </c>
      <c r="H254" s="16">
        <f>F254*G254</f>
        <v/>
      </c>
    </row>
    <row r="255">
      <c r="A255" s="14" t="n">
        <v>243</v>
      </c>
      <c r="B255">
        <f>$C$5+INT(A255/12)</f>
        <v/>
      </c>
      <c r="C255">
        <f>Parametros!$B$5+INT(A255/12)</f>
        <v/>
      </c>
      <c r="D255" s="15">
        <f>IFERROR(IF($C$4="H",INDEX(Mortalidad_H!$B$3:$BX$113,MATCH(B255,Mortalidad_H!$A$3:$A$113,0),MATCH(MIN(C255,2100),Mortalidad_H!$B$2:$BX$2,0)),INDEX(Mortalidad_M!$B$3:$BX$93,MATCH(B255,Mortalidad_M!$A$3:$A$93,0),MATCH(MIN(C255,2100),Mortalidad_M!$B$2:$BX$2,0))),1)</f>
        <v/>
      </c>
      <c r="E255" s="15">
        <f>1-(1-D255)^(1/12)</f>
        <v/>
      </c>
      <c r="F255" s="16">
        <f>F254*(1-E254)</f>
        <v/>
      </c>
      <c r="G255" s="16">
        <f>1/(1+$C$7)^(A255/12)</f>
        <v/>
      </c>
      <c r="H255" s="16">
        <f>F255*G255</f>
        <v/>
      </c>
    </row>
    <row r="256">
      <c r="A256" s="14" t="n">
        <v>244</v>
      </c>
      <c r="B256">
        <f>$C$5+INT(A256/12)</f>
        <v/>
      </c>
      <c r="C256">
        <f>Parametros!$B$5+INT(A256/12)</f>
        <v/>
      </c>
      <c r="D256" s="15">
        <f>IFERROR(IF($C$4="H",INDEX(Mortalidad_H!$B$3:$BX$113,MATCH(B256,Mortalidad_H!$A$3:$A$113,0),MATCH(MIN(C256,2100),Mortalidad_H!$B$2:$BX$2,0)),INDEX(Mortalidad_M!$B$3:$BX$93,MATCH(B256,Mortalidad_M!$A$3:$A$93,0),MATCH(MIN(C256,2100),Mortalidad_M!$B$2:$BX$2,0))),1)</f>
        <v/>
      </c>
      <c r="E256" s="15">
        <f>1-(1-D256)^(1/12)</f>
        <v/>
      </c>
      <c r="F256" s="16">
        <f>F255*(1-E255)</f>
        <v/>
      </c>
      <c r="G256" s="16">
        <f>1/(1+$C$7)^(A256/12)</f>
        <v/>
      </c>
      <c r="H256" s="16">
        <f>F256*G256</f>
        <v/>
      </c>
    </row>
    <row r="257">
      <c r="A257" s="14" t="n">
        <v>245</v>
      </c>
      <c r="B257">
        <f>$C$5+INT(A257/12)</f>
        <v/>
      </c>
      <c r="C257">
        <f>Parametros!$B$5+INT(A257/12)</f>
        <v/>
      </c>
      <c r="D257" s="15">
        <f>IFERROR(IF($C$4="H",INDEX(Mortalidad_H!$B$3:$BX$113,MATCH(B257,Mortalidad_H!$A$3:$A$113,0),MATCH(MIN(C257,2100),Mortalidad_H!$B$2:$BX$2,0)),INDEX(Mortalidad_M!$B$3:$BX$93,MATCH(B257,Mortalidad_M!$A$3:$A$93,0),MATCH(MIN(C257,2100),Mortalidad_M!$B$2:$BX$2,0))),1)</f>
        <v/>
      </c>
      <c r="E257" s="15">
        <f>1-(1-D257)^(1/12)</f>
        <v/>
      </c>
      <c r="F257" s="16">
        <f>F256*(1-E256)</f>
        <v/>
      </c>
      <c r="G257" s="16">
        <f>1/(1+$C$7)^(A257/12)</f>
        <v/>
      </c>
      <c r="H257" s="16">
        <f>F257*G257</f>
        <v/>
      </c>
    </row>
    <row r="258">
      <c r="A258" s="14" t="n">
        <v>246</v>
      </c>
      <c r="B258">
        <f>$C$5+INT(A258/12)</f>
        <v/>
      </c>
      <c r="C258">
        <f>Parametros!$B$5+INT(A258/12)</f>
        <v/>
      </c>
      <c r="D258" s="15">
        <f>IFERROR(IF($C$4="H",INDEX(Mortalidad_H!$B$3:$BX$113,MATCH(B258,Mortalidad_H!$A$3:$A$113,0),MATCH(MIN(C258,2100),Mortalidad_H!$B$2:$BX$2,0)),INDEX(Mortalidad_M!$B$3:$BX$93,MATCH(B258,Mortalidad_M!$A$3:$A$93,0),MATCH(MIN(C258,2100),Mortalidad_M!$B$2:$BX$2,0))),1)</f>
        <v/>
      </c>
      <c r="E258" s="15">
        <f>1-(1-D258)^(1/12)</f>
        <v/>
      </c>
      <c r="F258" s="16">
        <f>F257*(1-E257)</f>
        <v/>
      </c>
      <c r="G258" s="16">
        <f>1/(1+$C$7)^(A258/12)</f>
        <v/>
      </c>
      <c r="H258" s="16">
        <f>F258*G258</f>
        <v/>
      </c>
    </row>
    <row r="259">
      <c r="A259" s="14" t="n">
        <v>247</v>
      </c>
      <c r="B259">
        <f>$C$5+INT(A259/12)</f>
        <v/>
      </c>
      <c r="C259">
        <f>Parametros!$B$5+INT(A259/12)</f>
        <v/>
      </c>
      <c r="D259" s="15">
        <f>IFERROR(IF($C$4="H",INDEX(Mortalidad_H!$B$3:$BX$113,MATCH(B259,Mortalidad_H!$A$3:$A$113,0),MATCH(MIN(C259,2100),Mortalidad_H!$B$2:$BX$2,0)),INDEX(Mortalidad_M!$B$3:$BX$93,MATCH(B259,Mortalidad_M!$A$3:$A$93,0),MATCH(MIN(C259,2100),Mortalidad_M!$B$2:$BX$2,0))),1)</f>
        <v/>
      </c>
      <c r="E259" s="15">
        <f>1-(1-D259)^(1/12)</f>
        <v/>
      </c>
      <c r="F259" s="16">
        <f>F258*(1-E258)</f>
        <v/>
      </c>
      <c r="G259" s="16">
        <f>1/(1+$C$7)^(A259/12)</f>
        <v/>
      </c>
      <c r="H259" s="16">
        <f>F259*G259</f>
        <v/>
      </c>
    </row>
    <row r="260">
      <c r="A260" s="14" t="n">
        <v>248</v>
      </c>
      <c r="B260">
        <f>$C$5+INT(A260/12)</f>
        <v/>
      </c>
      <c r="C260">
        <f>Parametros!$B$5+INT(A260/12)</f>
        <v/>
      </c>
      <c r="D260" s="15">
        <f>IFERROR(IF($C$4="H",INDEX(Mortalidad_H!$B$3:$BX$113,MATCH(B260,Mortalidad_H!$A$3:$A$113,0),MATCH(MIN(C260,2100),Mortalidad_H!$B$2:$BX$2,0)),INDEX(Mortalidad_M!$B$3:$BX$93,MATCH(B260,Mortalidad_M!$A$3:$A$93,0),MATCH(MIN(C260,2100),Mortalidad_M!$B$2:$BX$2,0))),1)</f>
        <v/>
      </c>
      <c r="E260" s="15">
        <f>1-(1-D260)^(1/12)</f>
        <v/>
      </c>
      <c r="F260" s="16">
        <f>F259*(1-E259)</f>
        <v/>
      </c>
      <c r="G260" s="16">
        <f>1/(1+$C$7)^(A260/12)</f>
        <v/>
      </c>
      <c r="H260" s="16">
        <f>F260*G260</f>
        <v/>
      </c>
    </row>
    <row r="261">
      <c r="A261" s="14" t="n">
        <v>249</v>
      </c>
      <c r="B261">
        <f>$C$5+INT(A261/12)</f>
        <v/>
      </c>
      <c r="C261">
        <f>Parametros!$B$5+INT(A261/12)</f>
        <v/>
      </c>
      <c r="D261" s="15">
        <f>IFERROR(IF($C$4="H",INDEX(Mortalidad_H!$B$3:$BX$113,MATCH(B261,Mortalidad_H!$A$3:$A$113,0),MATCH(MIN(C261,2100),Mortalidad_H!$B$2:$BX$2,0)),INDEX(Mortalidad_M!$B$3:$BX$93,MATCH(B261,Mortalidad_M!$A$3:$A$93,0),MATCH(MIN(C261,2100),Mortalidad_M!$B$2:$BX$2,0))),1)</f>
        <v/>
      </c>
      <c r="E261" s="15">
        <f>1-(1-D261)^(1/12)</f>
        <v/>
      </c>
      <c r="F261" s="16">
        <f>F260*(1-E260)</f>
        <v/>
      </c>
      <c r="G261" s="16">
        <f>1/(1+$C$7)^(A261/12)</f>
        <v/>
      </c>
      <c r="H261" s="16">
        <f>F261*G261</f>
        <v/>
      </c>
    </row>
    <row r="262">
      <c r="A262" s="14" t="n">
        <v>250</v>
      </c>
      <c r="B262">
        <f>$C$5+INT(A262/12)</f>
        <v/>
      </c>
      <c r="C262">
        <f>Parametros!$B$5+INT(A262/12)</f>
        <v/>
      </c>
      <c r="D262" s="15">
        <f>IFERROR(IF($C$4="H",INDEX(Mortalidad_H!$B$3:$BX$113,MATCH(B262,Mortalidad_H!$A$3:$A$113,0),MATCH(MIN(C262,2100),Mortalidad_H!$B$2:$BX$2,0)),INDEX(Mortalidad_M!$B$3:$BX$93,MATCH(B262,Mortalidad_M!$A$3:$A$93,0),MATCH(MIN(C262,2100),Mortalidad_M!$B$2:$BX$2,0))),1)</f>
        <v/>
      </c>
      <c r="E262" s="15">
        <f>1-(1-D262)^(1/12)</f>
        <v/>
      </c>
      <c r="F262" s="16">
        <f>F261*(1-E261)</f>
        <v/>
      </c>
      <c r="G262" s="16">
        <f>1/(1+$C$7)^(A262/12)</f>
        <v/>
      </c>
      <c r="H262" s="16">
        <f>F262*G262</f>
        <v/>
      </c>
    </row>
    <row r="263">
      <c r="A263" s="14" t="n">
        <v>251</v>
      </c>
      <c r="B263">
        <f>$C$5+INT(A263/12)</f>
        <v/>
      </c>
      <c r="C263">
        <f>Parametros!$B$5+INT(A263/12)</f>
        <v/>
      </c>
      <c r="D263" s="15">
        <f>IFERROR(IF($C$4="H",INDEX(Mortalidad_H!$B$3:$BX$113,MATCH(B263,Mortalidad_H!$A$3:$A$113,0),MATCH(MIN(C263,2100),Mortalidad_H!$B$2:$BX$2,0)),INDEX(Mortalidad_M!$B$3:$BX$93,MATCH(B263,Mortalidad_M!$A$3:$A$93,0),MATCH(MIN(C263,2100),Mortalidad_M!$B$2:$BX$2,0))),1)</f>
        <v/>
      </c>
      <c r="E263" s="15">
        <f>1-(1-D263)^(1/12)</f>
        <v/>
      </c>
      <c r="F263" s="16">
        <f>F262*(1-E262)</f>
        <v/>
      </c>
      <c r="G263" s="16">
        <f>1/(1+$C$7)^(A263/12)</f>
        <v/>
      </c>
      <c r="H263" s="16">
        <f>F263*G263</f>
        <v/>
      </c>
    </row>
    <row r="264">
      <c r="A264" s="14" t="n">
        <v>252</v>
      </c>
      <c r="B264">
        <f>$C$5+INT(A264/12)</f>
        <v/>
      </c>
      <c r="C264">
        <f>Parametros!$B$5+INT(A264/12)</f>
        <v/>
      </c>
      <c r="D264" s="15">
        <f>IFERROR(IF($C$4="H",INDEX(Mortalidad_H!$B$3:$BX$113,MATCH(B264,Mortalidad_H!$A$3:$A$113,0),MATCH(MIN(C264,2100),Mortalidad_H!$B$2:$BX$2,0)),INDEX(Mortalidad_M!$B$3:$BX$93,MATCH(B264,Mortalidad_M!$A$3:$A$93,0),MATCH(MIN(C264,2100),Mortalidad_M!$B$2:$BX$2,0))),1)</f>
        <v/>
      </c>
      <c r="E264" s="15">
        <f>1-(1-D264)^(1/12)</f>
        <v/>
      </c>
      <c r="F264" s="16">
        <f>F263*(1-E263)</f>
        <v/>
      </c>
      <c r="G264" s="16">
        <f>1/(1+$C$7)^(A264/12)</f>
        <v/>
      </c>
      <c r="H264" s="16">
        <f>F264*G264</f>
        <v/>
      </c>
    </row>
    <row r="265">
      <c r="A265" s="14" t="n">
        <v>253</v>
      </c>
      <c r="B265">
        <f>$C$5+INT(A265/12)</f>
        <v/>
      </c>
      <c r="C265">
        <f>Parametros!$B$5+INT(A265/12)</f>
        <v/>
      </c>
      <c r="D265" s="15">
        <f>IFERROR(IF($C$4="H",INDEX(Mortalidad_H!$B$3:$BX$113,MATCH(B265,Mortalidad_H!$A$3:$A$113,0),MATCH(MIN(C265,2100),Mortalidad_H!$B$2:$BX$2,0)),INDEX(Mortalidad_M!$B$3:$BX$93,MATCH(B265,Mortalidad_M!$A$3:$A$93,0),MATCH(MIN(C265,2100),Mortalidad_M!$B$2:$BX$2,0))),1)</f>
        <v/>
      </c>
      <c r="E265" s="15">
        <f>1-(1-D265)^(1/12)</f>
        <v/>
      </c>
      <c r="F265" s="16">
        <f>F264*(1-E264)</f>
        <v/>
      </c>
      <c r="G265" s="16">
        <f>1/(1+$C$7)^(A265/12)</f>
        <v/>
      </c>
      <c r="H265" s="16">
        <f>F265*G265</f>
        <v/>
      </c>
    </row>
    <row r="266">
      <c r="A266" s="14" t="n">
        <v>254</v>
      </c>
      <c r="B266">
        <f>$C$5+INT(A266/12)</f>
        <v/>
      </c>
      <c r="C266">
        <f>Parametros!$B$5+INT(A266/12)</f>
        <v/>
      </c>
      <c r="D266" s="15">
        <f>IFERROR(IF($C$4="H",INDEX(Mortalidad_H!$B$3:$BX$113,MATCH(B266,Mortalidad_H!$A$3:$A$113,0),MATCH(MIN(C266,2100),Mortalidad_H!$B$2:$BX$2,0)),INDEX(Mortalidad_M!$B$3:$BX$93,MATCH(B266,Mortalidad_M!$A$3:$A$93,0),MATCH(MIN(C266,2100),Mortalidad_M!$B$2:$BX$2,0))),1)</f>
        <v/>
      </c>
      <c r="E266" s="15">
        <f>1-(1-D266)^(1/12)</f>
        <v/>
      </c>
      <c r="F266" s="16">
        <f>F265*(1-E265)</f>
        <v/>
      </c>
      <c r="G266" s="16">
        <f>1/(1+$C$7)^(A266/12)</f>
        <v/>
      </c>
      <c r="H266" s="16">
        <f>F266*G266</f>
        <v/>
      </c>
    </row>
    <row r="267">
      <c r="A267" s="14" t="n">
        <v>255</v>
      </c>
      <c r="B267">
        <f>$C$5+INT(A267/12)</f>
        <v/>
      </c>
      <c r="C267">
        <f>Parametros!$B$5+INT(A267/12)</f>
        <v/>
      </c>
      <c r="D267" s="15">
        <f>IFERROR(IF($C$4="H",INDEX(Mortalidad_H!$B$3:$BX$113,MATCH(B267,Mortalidad_H!$A$3:$A$113,0),MATCH(MIN(C267,2100),Mortalidad_H!$B$2:$BX$2,0)),INDEX(Mortalidad_M!$B$3:$BX$93,MATCH(B267,Mortalidad_M!$A$3:$A$93,0),MATCH(MIN(C267,2100),Mortalidad_M!$B$2:$BX$2,0))),1)</f>
        <v/>
      </c>
      <c r="E267" s="15">
        <f>1-(1-D267)^(1/12)</f>
        <v/>
      </c>
      <c r="F267" s="16">
        <f>F266*(1-E266)</f>
        <v/>
      </c>
      <c r="G267" s="16">
        <f>1/(1+$C$7)^(A267/12)</f>
        <v/>
      </c>
      <c r="H267" s="16">
        <f>F267*G267</f>
        <v/>
      </c>
    </row>
    <row r="268">
      <c r="A268" s="14" t="n">
        <v>256</v>
      </c>
      <c r="B268">
        <f>$C$5+INT(A268/12)</f>
        <v/>
      </c>
      <c r="C268">
        <f>Parametros!$B$5+INT(A268/12)</f>
        <v/>
      </c>
      <c r="D268" s="15">
        <f>IFERROR(IF($C$4="H",INDEX(Mortalidad_H!$B$3:$BX$113,MATCH(B268,Mortalidad_H!$A$3:$A$113,0),MATCH(MIN(C268,2100),Mortalidad_H!$B$2:$BX$2,0)),INDEX(Mortalidad_M!$B$3:$BX$93,MATCH(B268,Mortalidad_M!$A$3:$A$93,0),MATCH(MIN(C268,2100),Mortalidad_M!$B$2:$BX$2,0))),1)</f>
        <v/>
      </c>
      <c r="E268" s="15">
        <f>1-(1-D268)^(1/12)</f>
        <v/>
      </c>
      <c r="F268" s="16">
        <f>F267*(1-E267)</f>
        <v/>
      </c>
      <c r="G268" s="16">
        <f>1/(1+$C$7)^(A268/12)</f>
        <v/>
      </c>
      <c r="H268" s="16">
        <f>F268*G268</f>
        <v/>
      </c>
    </row>
    <row r="269">
      <c r="A269" s="14" t="n">
        <v>257</v>
      </c>
      <c r="B269">
        <f>$C$5+INT(A269/12)</f>
        <v/>
      </c>
      <c r="C269">
        <f>Parametros!$B$5+INT(A269/12)</f>
        <v/>
      </c>
      <c r="D269" s="15">
        <f>IFERROR(IF($C$4="H",INDEX(Mortalidad_H!$B$3:$BX$113,MATCH(B269,Mortalidad_H!$A$3:$A$113,0),MATCH(MIN(C269,2100),Mortalidad_H!$B$2:$BX$2,0)),INDEX(Mortalidad_M!$B$3:$BX$93,MATCH(B269,Mortalidad_M!$A$3:$A$93,0),MATCH(MIN(C269,2100),Mortalidad_M!$B$2:$BX$2,0))),1)</f>
        <v/>
      </c>
      <c r="E269" s="15">
        <f>1-(1-D269)^(1/12)</f>
        <v/>
      </c>
      <c r="F269" s="16">
        <f>F268*(1-E268)</f>
        <v/>
      </c>
      <c r="G269" s="16">
        <f>1/(1+$C$7)^(A269/12)</f>
        <v/>
      </c>
      <c r="H269" s="16">
        <f>F269*G269</f>
        <v/>
      </c>
    </row>
    <row r="270">
      <c r="A270" s="14" t="n">
        <v>258</v>
      </c>
      <c r="B270">
        <f>$C$5+INT(A270/12)</f>
        <v/>
      </c>
      <c r="C270">
        <f>Parametros!$B$5+INT(A270/12)</f>
        <v/>
      </c>
      <c r="D270" s="15">
        <f>IFERROR(IF($C$4="H",INDEX(Mortalidad_H!$B$3:$BX$113,MATCH(B270,Mortalidad_H!$A$3:$A$113,0),MATCH(MIN(C270,2100),Mortalidad_H!$B$2:$BX$2,0)),INDEX(Mortalidad_M!$B$3:$BX$93,MATCH(B270,Mortalidad_M!$A$3:$A$93,0),MATCH(MIN(C270,2100),Mortalidad_M!$B$2:$BX$2,0))),1)</f>
        <v/>
      </c>
      <c r="E270" s="15">
        <f>1-(1-D270)^(1/12)</f>
        <v/>
      </c>
      <c r="F270" s="16">
        <f>F269*(1-E269)</f>
        <v/>
      </c>
      <c r="G270" s="16">
        <f>1/(1+$C$7)^(A270/12)</f>
        <v/>
      </c>
      <c r="H270" s="16">
        <f>F270*G270</f>
        <v/>
      </c>
    </row>
    <row r="271">
      <c r="A271" s="14" t="n">
        <v>259</v>
      </c>
      <c r="B271">
        <f>$C$5+INT(A271/12)</f>
        <v/>
      </c>
      <c r="C271">
        <f>Parametros!$B$5+INT(A271/12)</f>
        <v/>
      </c>
      <c r="D271" s="15">
        <f>IFERROR(IF($C$4="H",INDEX(Mortalidad_H!$B$3:$BX$113,MATCH(B271,Mortalidad_H!$A$3:$A$113,0),MATCH(MIN(C271,2100),Mortalidad_H!$B$2:$BX$2,0)),INDEX(Mortalidad_M!$B$3:$BX$93,MATCH(B271,Mortalidad_M!$A$3:$A$93,0),MATCH(MIN(C271,2100),Mortalidad_M!$B$2:$BX$2,0))),1)</f>
        <v/>
      </c>
      <c r="E271" s="15">
        <f>1-(1-D271)^(1/12)</f>
        <v/>
      </c>
      <c r="F271" s="16">
        <f>F270*(1-E270)</f>
        <v/>
      </c>
      <c r="G271" s="16">
        <f>1/(1+$C$7)^(A271/12)</f>
        <v/>
      </c>
      <c r="H271" s="16">
        <f>F271*G271</f>
        <v/>
      </c>
    </row>
    <row r="272">
      <c r="A272" s="14" t="n">
        <v>260</v>
      </c>
      <c r="B272">
        <f>$C$5+INT(A272/12)</f>
        <v/>
      </c>
      <c r="C272">
        <f>Parametros!$B$5+INT(A272/12)</f>
        <v/>
      </c>
      <c r="D272" s="15">
        <f>IFERROR(IF($C$4="H",INDEX(Mortalidad_H!$B$3:$BX$113,MATCH(B272,Mortalidad_H!$A$3:$A$113,0),MATCH(MIN(C272,2100),Mortalidad_H!$B$2:$BX$2,0)),INDEX(Mortalidad_M!$B$3:$BX$93,MATCH(B272,Mortalidad_M!$A$3:$A$93,0),MATCH(MIN(C272,2100),Mortalidad_M!$B$2:$BX$2,0))),1)</f>
        <v/>
      </c>
      <c r="E272" s="15">
        <f>1-(1-D272)^(1/12)</f>
        <v/>
      </c>
      <c r="F272" s="16">
        <f>F271*(1-E271)</f>
        <v/>
      </c>
      <c r="G272" s="16">
        <f>1/(1+$C$7)^(A272/12)</f>
        <v/>
      </c>
      <c r="H272" s="16">
        <f>F272*G272</f>
        <v/>
      </c>
    </row>
    <row r="273">
      <c r="A273" s="14" t="n">
        <v>261</v>
      </c>
      <c r="B273">
        <f>$C$5+INT(A273/12)</f>
        <v/>
      </c>
      <c r="C273">
        <f>Parametros!$B$5+INT(A273/12)</f>
        <v/>
      </c>
      <c r="D273" s="15">
        <f>IFERROR(IF($C$4="H",INDEX(Mortalidad_H!$B$3:$BX$113,MATCH(B273,Mortalidad_H!$A$3:$A$113,0),MATCH(MIN(C273,2100),Mortalidad_H!$B$2:$BX$2,0)),INDEX(Mortalidad_M!$B$3:$BX$93,MATCH(B273,Mortalidad_M!$A$3:$A$93,0),MATCH(MIN(C273,2100),Mortalidad_M!$B$2:$BX$2,0))),1)</f>
        <v/>
      </c>
      <c r="E273" s="15">
        <f>1-(1-D273)^(1/12)</f>
        <v/>
      </c>
      <c r="F273" s="16">
        <f>F272*(1-E272)</f>
        <v/>
      </c>
      <c r="G273" s="16">
        <f>1/(1+$C$7)^(A273/12)</f>
        <v/>
      </c>
      <c r="H273" s="16">
        <f>F273*G273</f>
        <v/>
      </c>
    </row>
    <row r="274">
      <c r="A274" s="14" t="n">
        <v>262</v>
      </c>
      <c r="B274">
        <f>$C$5+INT(A274/12)</f>
        <v/>
      </c>
      <c r="C274">
        <f>Parametros!$B$5+INT(A274/12)</f>
        <v/>
      </c>
      <c r="D274" s="15">
        <f>IFERROR(IF($C$4="H",INDEX(Mortalidad_H!$B$3:$BX$113,MATCH(B274,Mortalidad_H!$A$3:$A$113,0),MATCH(MIN(C274,2100),Mortalidad_H!$B$2:$BX$2,0)),INDEX(Mortalidad_M!$B$3:$BX$93,MATCH(B274,Mortalidad_M!$A$3:$A$93,0),MATCH(MIN(C274,2100),Mortalidad_M!$B$2:$BX$2,0))),1)</f>
        <v/>
      </c>
      <c r="E274" s="15">
        <f>1-(1-D274)^(1/12)</f>
        <v/>
      </c>
      <c r="F274" s="16">
        <f>F273*(1-E273)</f>
        <v/>
      </c>
      <c r="G274" s="16">
        <f>1/(1+$C$7)^(A274/12)</f>
        <v/>
      </c>
      <c r="H274" s="16">
        <f>F274*G274</f>
        <v/>
      </c>
    </row>
    <row r="275">
      <c r="A275" s="14" t="n">
        <v>263</v>
      </c>
      <c r="B275">
        <f>$C$5+INT(A275/12)</f>
        <v/>
      </c>
      <c r="C275">
        <f>Parametros!$B$5+INT(A275/12)</f>
        <v/>
      </c>
      <c r="D275" s="15">
        <f>IFERROR(IF($C$4="H",INDEX(Mortalidad_H!$B$3:$BX$113,MATCH(B275,Mortalidad_H!$A$3:$A$113,0),MATCH(MIN(C275,2100),Mortalidad_H!$B$2:$BX$2,0)),INDEX(Mortalidad_M!$B$3:$BX$93,MATCH(B275,Mortalidad_M!$A$3:$A$93,0),MATCH(MIN(C275,2100),Mortalidad_M!$B$2:$BX$2,0))),1)</f>
        <v/>
      </c>
      <c r="E275" s="15">
        <f>1-(1-D275)^(1/12)</f>
        <v/>
      </c>
      <c r="F275" s="16">
        <f>F274*(1-E274)</f>
        <v/>
      </c>
      <c r="G275" s="16">
        <f>1/(1+$C$7)^(A275/12)</f>
        <v/>
      </c>
      <c r="H275" s="16">
        <f>F275*G275</f>
        <v/>
      </c>
    </row>
    <row r="276">
      <c r="A276" s="14" t="n">
        <v>264</v>
      </c>
      <c r="B276">
        <f>$C$5+INT(A276/12)</f>
        <v/>
      </c>
      <c r="C276">
        <f>Parametros!$B$5+INT(A276/12)</f>
        <v/>
      </c>
      <c r="D276" s="15">
        <f>IFERROR(IF($C$4="H",INDEX(Mortalidad_H!$B$3:$BX$113,MATCH(B276,Mortalidad_H!$A$3:$A$113,0),MATCH(MIN(C276,2100),Mortalidad_H!$B$2:$BX$2,0)),INDEX(Mortalidad_M!$B$3:$BX$93,MATCH(B276,Mortalidad_M!$A$3:$A$93,0),MATCH(MIN(C276,2100),Mortalidad_M!$B$2:$BX$2,0))),1)</f>
        <v/>
      </c>
      <c r="E276" s="15">
        <f>1-(1-D276)^(1/12)</f>
        <v/>
      </c>
      <c r="F276" s="16">
        <f>F275*(1-E275)</f>
        <v/>
      </c>
      <c r="G276" s="16">
        <f>1/(1+$C$7)^(A276/12)</f>
        <v/>
      </c>
      <c r="H276" s="16">
        <f>F276*G276</f>
        <v/>
      </c>
    </row>
    <row r="277">
      <c r="A277" s="14" t="n">
        <v>265</v>
      </c>
      <c r="B277">
        <f>$C$5+INT(A277/12)</f>
        <v/>
      </c>
      <c r="C277">
        <f>Parametros!$B$5+INT(A277/12)</f>
        <v/>
      </c>
      <c r="D277" s="15">
        <f>IFERROR(IF($C$4="H",INDEX(Mortalidad_H!$B$3:$BX$113,MATCH(B277,Mortalidad_H!$A$3:$A$113,0),MATCH(MIN(C277,2100),Mortalidad_H!$B$2:$BX$2,0)),INDEX(Mortalidad_M!$B$3:$BX$93,MATCH(B277,Mortalidad_M!$A$3:$A$93,0),MATCH(MIN(C277,2100),Mortalidad_M!$B$2:$BX$2,0))),1)</f>
        <v/>
      </c>
      <c r="E277" s="15">
        <f>1-(1-D277)^(1/12)</f>
        <v/>
      </c>
      <c r="F277" s="16">
        <f>F276*(1-E276)</f>
        <v/>
      </c>
      <c r="G277" s="16">
        <f>1/(1+$C$7)^(A277/12)</f>
        <v/>
      </c>
      <c r="H277" s="16">
        <f>F277*G277</f>
        <v/>
      </c>
    </row>
    <row r="278">
      <c r="A278" s="14" t="n">
        <v>266</v>
      </c>
      <c r="B278">
        <f>$C$5+INT(A278/12)</f>
        <v/>
      </c>
      <c r="C278">
        <f>Parametros!$B$5+INT(A278/12)</f>
        <v/>
      </c>
      <c r="D278" s="15">
        <f>IFERROR(IF($C$4="H",INDEX(Mortalidad_H!$B$3:$BX$113,MATCH(B278,Mortalidad_H!$A$3:$A$113,0),MATCH(MIN(C278,2100),Mortalidad_H!$B$2:$BX$2,0)),INDEX(Mortalidad_M!$B$3:$BX$93,MATCH(B278,Mortalidad_M!$A$3:$A$93,0),MATCH(MIN(C278,2100),Mortalidad_M!$B$2:$BX$2,0))),1)</f>
        <v/>
      </c>
      <c r="E278" s="15">
        <f>1-(1-D278)^(1/12)</f>
        <v/>
      </c>
      <c r="F278" s="16">
        <f>F277*(1-E277)</f>
        <v/>
      </c>
      <c r="G278" s="16">
        <f>1/(1+$C$7)^(A278/12)</f>
        <v/>
      </c>
      <c r="H278" s="16">
        <f>F278*G278</f>
        <v/>
      </c>
    </row>
    <row r="279">
      <c r="A279" s="14" t="n">
        <v>267</v>
      </c>
      <c r="B279">
        <f>$C$5+INT(A279/12)</f>
        <v/>
      </c>
      <c r="C279">
        <f>Parametros!$B$5+INT(A279/12)</f>
        <v/>
      </c>
      <c r="D279" s="15">
        <f>IFERROR(IF($C$4="H",INDEX(Mortalidad_H!$B$3:$BX$113,MATCH(B279,Mortalidad_H!$A$3:$A$113,0),MATCH(MIN(C279,2100),Mortalidad_H!$B$2:$BX$2,0)),INDEX(Mortalidad_M!$B$3:$BX$93,MATCH(B279,Mortalidad_M!$A$3:$A$93,0),MATCH(MIN(C279,2100),Mortalidad_M!$B$2:$BX$2,0))),1)</f>
        <v/>
      </c>
      <c r="E279" s="15">
        <f>1-(1-D279)^(1/12)</f>
        <v/>
      </c>
      <c r="F279" s="16">
        <f>F278*(1-E278)</f>
        <v/>
      </c>
      <c r="G279" s="16">
        <f>1/(1+$C$7)^(A279/12)</f>
        <v/>
      </c>
      <c r="H279" s="16">
        <f>F279*G279</f>
        <v/>
      </c>
    </row>
    <row r="280">
      <c r="A280" s="14" t="n">
        <v>268</v>
      </c>
      <c r="B280">
        <f>$C$5+INT(A280/12)</f>
        <v/>
      </c>
      <c r="C280">
        <f>Parametros!$B$5+INT(A280/12)</f>
        <v/>
      </c>
      <c r="D280" s="15">
        <f>IFERROR(IF($C$4="H",INDEX(Mortalidad_H!$B$3:$BX$113,MATCH(B280,Mortalidad_H!$A$3:$A$113,0),MATCH(MIN(C280,2100),Mortalidad_H!$B$2:$BX$2,0)),INDEX(Mortalidad_M!$B$3:$BX$93,MATCH(B280,Mortalidad_M!$A$3:$A$93,0),MATCH(MIN(C280,2100),Mortalidad_M!$B$2:$BX$2,0))),1)</f>
        <v/>
      </c>
      <c r="E280" s="15">
        <f>1-(1-D280)^(1/12)</f>
        <v/>
      </c>
      <c r="F280" s="16">
        <f>F279*(1-E279)</f>
        <v/>
      </c>
      <c r="G280" s="16">
        <f>1/(1+$C$7)^(A280/12)</f>
        <v/>
      </c>
      <c r="H280" s="16">
        <f>F280*G280</f>
        <v/>
      </c>
    </row>
    <row r="281">
      <c r="A281" s="14" t="n">
        <v>269</v>
      </c>
      <c r="B281">
        <f>$C$5+INT(A281/12)</f>
        <v/>
      </c>
      <c r="C281">
        <f>Parametros!$B$5+INT(A281/12)</f>
        <v/>
      </c>
      <c r="D281" s="15">
        <f>IFERROR(IF($C$4="H",INDEX(Mortalidad_H!$B$3:$BX$113,MATCH(B281,Mortalidad_H!$A$3:$A$113,0),MATCH(MIN(C281,2100),Mortalidad_H!$B$2:$BX$2,0)),INDEX(Mortalidad_M!$B$3:$BX$93,MATCH(B281,Mortalidad_M!$A$3:$A$93,0),MATCH(MIN(C281,2100),Mortalidad_M!$B$2:$BX$2,0))),1)</f>
        <v/>
      </c>
      <c r="E281" s="15">
        <f>1-(1-D281)^(1/12)</f>
        <v/>
      </c>
      <c r="F281" s="16">
        <f>F280*(1-E280)</f>
        <v/>
      </c>
      <c r="G281" s="16">
        <f>1/(1+$C$7)^(A281/12)</f>
        <v/>
      </c>
      <c r="H281" s="16">
        <f>F281*G281</f>
        <v/>
      </c>
    </row>
    <row r="282">
      <c r="A282" s="14" t="n">
        <v>270</v>
      </c>
      <c r="B282">
        <f>$C$5+INT(A282/12)</f>
        <v/>
      </c>
      <c r="C282">
        <f>Parametros!$B$5+INT(A282/12)</f>
        <v/>
      </c>
      <c r="D282" s="15">
        <f>IFERROR(IF($C$4="H",INDEX(Mortalidad_H!$B$3:$BX$113,MATCH(B282,Mortalidad_H!$A$3:$A$113,0),MATCH(MIN(C282,2100),Mortalidad_H!$B$2:$BX$2,0)),INDEX(Mortalidad_M!$B$3:$BX$93,MATCH(B282,Mortalidad_M!$A$3:$A$93,0),MATCH(MIN(C282,2100),Mortalidad_M!$B$2:$BX$2,0))),1)</f>
        <v/>
      </c>
      <c r="E282" s="15">
        <f>1-(1-D282)^(1/12)</f>
        <v/>
      </c>
      <c r="F282" s="16">
        <f>F281*(1-E281)</f>
        <v/>
      </c>
      <c r="G282" s="16">
        <f>1/(1+$C$7)^(A282/12)</f>
        <v/>
      </c>
      <c r="H282" s="16">
        <f>F282*G282</f>
        <v/>
      </c>
    </row>
    <row r="283">
      <c r="A283" s="14" t="n">
        <v>271</v>
      </c>
      <c r="B283">
        <f>$C$5+INT(A283/12)</f>
        <v/>
      </c>
      <c r="C283">
        <f>Parametros!$B$5+INT(A283/12)</f>
        <v/>
      </c>
      <c r="D283" s="15">
        <f>IFERROR(IF($C$4="H",INDEX(Mortalidad_H!$B$3:$BX$113,MATCH(B283,Mortalidad_H!$A$3:$A$113,0),MATCH(MIN(C283,2100),Mortalidad_H!$B$2:$BX$2,0)),INDEX(Mortalidad_M!$B$3:$BX$93,MATCH(B283,Mortalidad_M!$A$3:$A$93,0),MATCH(MIN(C283,2100),Mortalidad_M!$B$2:$BX$2,0))),1)</f>
        <v/>
      </c>
      <c r="E283" s="15">
        <f>1-(1-D283)^(1/12)</f>
        <v/>
      </c>
      <c r="F283" s="16">
        <f>F282*(1-E282)</f>
        <v/>
      </c>
      <c r="G283" s="16">
        <f>1/(1+$C$7)^(A283/12)</f>
        <v/>
      </c>
      <c r="H283" s="16">
        <f>F283*G283</f>
        <v/>
      </c>
    </row>
    <row r="284">
      <c r="A284" s="14" t="n">
        <v>272</v>
      </c>
      <c r="B284">
        <f>$C$5+INT(A284/12)</f>
        <v/>
      </c>
      <c r="C284">
        <f>Parametros!$B$5+INT(A284/12)</f>
        <v/>
      </c>
      <c r="D284" s="15">
        <f>IFERROR(IF($C$4="H",INDEX(Mortalidad_H!$B$3:$BX$113,MATCH(B284,Mortalidad_H!$A$3:$A$113,0),MATCH(MIN(C284,2100),Mortalidad_H!$B$2:$BX$2,0)),INDEX(Mortalidad_M!$B$3:$BX$93,MATCH(B284,Mortalidad_M!$A$3:$A$93,0),MATCH(MIN(C284,2100),Mortalidad_M!$B$2:$BX$2,0))),1)</f>
        <v/>
      </c>
      <c r="E284" s="15">
        <f>1-(1-D284)^(1/12)</f>
        <v/>
      </c>
      <c r="F284" s="16">
        <f>F283*(1-E283)</f>
        <v/>
      </c>
      <c r="G284" s="16">
        <f>1/(1+$C$7)^(A284/12)</f>
        <v/>
      </c>
      <c r="H284" s="16">
        <f>F284*G284</f>
        <v/>
      </c>
    </row>
    <row r="285">
      <c r="A285" s="14" t="n">
        <v>273</v>
      </c>
      <c r="B285">
        <f>$C$5+INT(A285/12)</f>
        <v/>
      </c>
      <c r="C285">
        <f>Parametros!$B$5+INT(A285/12)</f>
        <v/>
      </c>
      <c r="D285" s="15">
        <f>IFERROR(IF($C$4="H",INDEX(Mortalidad_H!$B$3:$BX$113,MATCH(B285,Mortalidad_H!$A$3:$A$113,0),MATCH(MIN(C285,2100),Mortalidad_H!$B$2:$BX$2,0)),INDEX(Mortalidad_M!$B$3:$BX$93,MATCH(B285,Mortalidad_M!$A$3:$A$93,0),MATCH(MIN(C285,2100),Mortalidad_M!$B$2:$BX$2,0))),1)</f>
        <v/>
      </c>
      <c r="E285" s="15">
        <f>1-(1-D285)^(1/12)</f>
        <v/>
      </c>
      <c r="F285" s="16">
        <f>F284*(1-E284)</f>
        <v/>
      </c>
      <c r="G285" s="16">
        <f>1/(1+$C$7)^(A285/12)</f>
        <v/>
      </c>
      <c r="H285" s="16">
        <f>F285*G285</f>
        <v/>
      </c>
    </row>
    <row r="286">
      <c r="A286" s="14" t="n">
        <v>274</v>
      </c>
      <c r="B286">
        <f>$C$5+INT(A286/12)</f>
        <v/>
      </c>
      <c r="C286">
        <f>Parametros!$B$5+INT(A286/12)</f>
        <v/>
      </c>
      <c r="D286" s="15">
        <f>IFERROR(IF($C$4="H",INDEX(Mortalidad_H!$B$3:$BX$113,MATCH(B286,Mortalidad_H!$A$3:$A$113,0),MATCH(MIN(C286,2100),Mortalidad_H!$B$2:$BX$2,0)),INDEX(Mortalidad_M!$B$3:$BX$93,MATCH(B286,Mortalidad_M!$A$3:$A$93,0),MATCH(MIN(C286,2100),Mortalidad_M!$B$2:$BX$2,0))),1)</f>
        <v/>
      </c>
      <c r="E286" s="15">
        <f>1-(1-D286)^(1/12)</f>
        <v/>
      </c>
      <c r="F286" s="16">
        <f>F285*(1-E285)</f>
        <v/>
      </c>
      <c r="G286" s="16">
        <f>1/(1+$C$7)^(A286/12)</f>
        <v/>
      </c>
      <c r="H286" s="16">
        <f>F286*G286</f>
        <v/>
      </c>
    </row>
    <row r="287">
      <c r="A287" s="14" t="n">
        <v>275</v>
      </c>
      <c r="B287">
        <f>$C$5+INT(A287/12)</f>
        <v/>
      </c>
      <c r="C287">
        <f>Parametros!$B$5+INT(A287/12)</f>
        <v/>
      </c>
      <c r="D287" s="15">
        <f>IFERROR(IF($C$4="H",INDEX(Mortalidad_H!$B$3:$BX$113,MATCH(B287,Mortalidad_H!$A$3:$A$113,0),MATCH(MIN(C287,2100),Mortalidad_H!$B$2:$BX$2,0)),INDEX(Mortalidad_M!$B$3:$BX$93,MATCH(B287,Mortalidad_M!$A$3:$A$93,0),MATCH(MIN(C287,2100),Mortalidad_M!$B$2:$BX$2,0))),1)</f>
        <v/>
      </c>
      <c r="E287" s="15">
        <f>1-(1-D287)^(1/12)</f>
        <v/>
      </c>
      <c r="F287" s="16">
        <f>F286*(1-E286)</f>
        <v/>
      </c>
      <c r="G287" s="16">
        <f>1/(1+$C$7)^(A287/12)</f>
        <v/>
      </c>
      <c r="H287" s="16">
        <f>F287*G287</f>
        <v/>
      </c>
    </row>
    <row r="288">
      <c r="A288" s="14" t="n">
        <v>276</v>
      </c>
      <c r="B288">
        <f>$C$5+INT(A288/12)</f>
        <v/>
      </c>
      <c r="C288">
        <f>Parametros!$B$5+INT(A288/12)</f>
        <v/>
      </c>
      <c r="D288" s="15">
        <f>IFERROR(IF($C$4="H",INDEX(Mortalidad_H!$B$3:$BX$113,MATCH(B288,Mortalidad_H!$A$3:$A$113,0),MATCH(MIN(C288,2100),Mortalidad_H!$B$2:$BX$2,0)),INDEX(Mortalidad_M!$B$3:$BX$93,MATCH(B288,Mortalidad_M!$A$3:$A$93,0),MATCH(MIN(C288,2100),Mortalidad_M!$B$2:$BX$2,0))),1)</f>
        <v/>
      </c>
      <c r="E288" s="15">
        <f>1-(1-D288)^(1/12)</f>
        <v/>
      </c>
      <c r="F288" s="16">
        <f>F287*(1-E287)</f>
        <v/>
      </c>
      <c r="G288" s="16">
        <f>1/(1+$C$7)^(A288/12)</f>
        <v/>
      </c>
      <c r="H288" s="16">
        <f>F288*G288</f>
        <v/>
      </c>
    </row>
    <row r="289">
      <c r="A289" s="14" t="n">
        <v>277</v>
      </c>
      <c r="B289">
        <f>$C$5+INT(A289/12)</f>
        <v/>
      </c>
      <c r="C289">
        <f>Parametros!$B$5+INT(A289/12)</f>
        <v/>
      </c>
      <c r="D289" s="15">
        <f>IFERROR(IF($C$4="H",INDEX(Mortalidad_H!$B$3:$BX$113,MATCH(B289,Mortalidad_H!$A$3:$A$113,0),MATCH(MIN(C289,2100),Mortalidad_H!$B$2:$BX$2,0)),INDEX(Mortalidad_M!$B$3:$BX$93,MATCH(B289,Mortalidad_M!$A$3:$A$93,0),MATCH(MIN(C289,2100),Mortalidad_M!$B$2:$BX$2,0))),1)</f>
        <v/>
      </c>
      <c r="E289" s="15">
        <f>1-(1-D289)^(1/12)</f>
        <v/>
      </c>
      <c r="F289" s="16">
        <f>F288*(1-E288)</f>
        <v/>
      </c>
      <c r="G289" s="16">
        <f>1/(1+$C$7)^(A289/12)</f>
        <v/>
      </c>
      <c r="H289" s="16">
        <f>F289*G289</f>
        <v/>
      </c>
    </row>
    <row r="290">
      <c r="A290" s="14" t="n">
        <v>278</v>
      </c>
      <c r="B290">
        <f>$C$5+INT(A290/12)</f>
        <v/>
      </c>
      <c r="C290">
        <f>Parametros!$B$5+INT(A290/12)</f>
        <v/>
      </c>
      <c r="D290" s="15">
        <f>IFERROR(IF($C$4="H",INDEX(Mortalidad_H!$B$3:$BX$113,MATCH(B290,Mortalidad_H!$A$3:$A$113,0),MATCH(MIN(C290,2100),Mortalidad_H!$B$2:$BX$2,0)),INDEX(Mortalidad_M!$B$3:$BX$93,MATCH(B290,Mortalidad_M!$A$3:$A$93,0),MATCH(MIN(C290,2100),Mortalidad_M!$B$2:$BX$2,0))),1)</f>
        <v/>
      </c>
      <c r="E290" s="15">
        <f>1-(1-D290)^(1/12)</f>
        <v/>
      </c>
      <c r="F290" s="16">
        <f>F289*(1-E289)</f>
        <v/>
      </c>
      <c r="G290" s="16">
        <f>1/(1+$C$7)^(A290/12)</f>
        <v/>
      </c>
      <c r="H290" s="16">
        <f>F290*G290</f>
        <v/>
      </c>
    </row>
    <row r="291">
      <c r="A291" s="14" t="n">
        <v>279</v>
      </c>
      <c r="B291">
        <f>$C$5+INT(A291/12)</f>
        <v/>
      </c>
      <c r="C291">
        <f>Parametros!$B$5+INT(A291/12)</f>
        <v/>
      </c>
      <c r="D291" s="15">
        <f>IFERROR(IF($C$4="H",INDEX(Mortalidad_H!$B$3:$BX$113,MATCH(B291,Mortalidad_H!$A$3:$A$113,0),MATCH(MIN(C291,2100),Mortalidad_H!$B$2:$BX$2,0)),INDEX(Mortalidad_M!$B$3:$BX$93,MATCH(B291,Mortalidad_M!$A$3:$A$93,0),MATCH(MIN(C291,2100),Mortalidad_M!$B$2:$BX$2,0))),1)</f>
        <v/>
      </c>
      <c r="E291" s="15">
        <f>1-(1-D291)^(1/12)</f>
        <v/>
      </c>
      <c r="F291" s="16">
        <f>F290*(1-E290)</f>
        <v/>
      </c>
      <c r="G291" s="16">
        <f>1/(1+$C$7)^(A291/12)</f>
        <v/>
      </c>
      <c r="H291" s="16">
        <f>F291*G291</f>
        <v/>
      </c>
    </row>
    <row r="292">
      <c r="A292" s="14" t="n">
        <v>280</v>
      </c>
      <c r="B292">
        <f>$C$5+INT(A292/12)</f>
        <v/>
      </c>
      <c r="C292">
        <f>Parametros!$B$5+INT(A292/12)</f>
        <v/>
      </c>
      <c r="D292" s="15">
        <f>IFERROR(IF($C$4="H",INDEX(Mortalidad_H!$B$3:$BX$113,MATCH(B292,Mortalidad_H!$A$3:$A$113,0),MATCH(MIN(C292,2100),Mortalidad_H!$B$2:$BX$2,0)),INDEX(Mortalidad_M!$B$3:$BX$93,MATCH(B292,Mortalidad_M!$A$3:$A$93,0),MATCH(MIN(C292,2100),Mortalidad_M!$B$2:$BX$2,0))),1)</f>
        <v/>
      </c>
      <c r="E292" s="15">
        <f>1-(1-D292)^(1/12)</f>
        <v/>
      </c>
      <c r="F292" s="16">
        <f>F291*(1-E291)</f>
        <v/>
      </c>
      <c r="G292" s="16">
        <f>1/(1+$C$7)^(A292/12)</f>
        <v/>
      </c>
      <c r="H292" s="16">
        <f>F292*G292</f>
        <v/>
      </c>
    </row>
    <row r="293">
      <c r="A293" s="14" t="n">
        <v>281</v>
      </c>
      <c r="B293">
        <f>$C$5+INT(A293/12)</f>
        <v/>
      </c>
      <c r="C293">
        <f>Parametros!$B$5+INT(A293/12)</f>
        <v/>
      </c>
      <c r="D293" s="15">
        <f>IFERROR(IF($C$4="H",INDEX(Mortalidad_H!$B$3:$BX$113,MATCH(B293,Mortalidad_H!$A$3:$A$113,0),MATCH(MIN(C293,2100),Mortalidad_H!$B$2:$BX$2,0)),INDEX(Mortalidad_M!$B$3:$BX$93,MATCH(B293,Mortalidad_M!$A$3:$A$93,0),MATCH(MIN(C293,2100),Mortalidad_M!$B$2:$BX$2,0))),1)</f>
        <v/>
      </c>
      <c r="E293" s="15">
        <f>1-(1-D293)^(1/12)</f>
        <v/>
      </c>
      <c r="F293" s="16">
        <f>F292*(1-E292)</f>
        <v/>
      </c>
      <c r="G293" s="16">
        <f>1/(1+$C$7)^(A293/12)</f>
        <v/>
      </c>
      <c r="H293" s="16">
        <f>F293*G293</f>
        <v/>
      </c>
    </row>
    <row r="294">
      <c r="A294" s="14" t="n">
        <v>282</v>
      </c>
      <c r="B294">
        <f>$C$5+INT(A294/12)</f>
        <v/>
      </c>
      <c r="C294">
        <f>Parametros!$B$5+INT(A294/12)</f>
        <v/>
      </c>
      <c r="D294" s="15">
        <f>IFERROR(IF($C$4="H",INDEX(Mortalidad_H!$B$3:$BX$113,MATCH(B294,Mortalidad_H!$A$3:$A$113,0),MATCH(MIN(C294,2100),Mortalidad_H!$B$2:$BX$2,0)),INDEX(Mortalidad_M!$B$3:$BX$93,MATCH(B294,Mortalidad_M!$A$3:$A$93,0),MATCH(MIN(C294,2100),Mortalidad_M!$B$2:$BX$2,0))),1)</f>
        <v/>
      </c>
      <c r="E294" s="15">
        <f>1-(1-D294)^(1/12)</f>
        <v/>
      </c>
      <c r="F294" s="16">
        <f>F293*(1-E293)</f>
        <v/>
      </c>
      <c r="G294" s="16">
        <f>1/(1+$C$7)^(A294/12)</f>
        <v/>
      </c>
      <c r="H294" s="16">
        <f>F294*G294</f>
        <v/>
      </c>
    </row>
    <row r="295">
      <c r="A295" s="14" t="n">
        <v>283</v>
      </c>
      <c r="B295">
        <f>$C$5+INT(A295/12)</f>
        <v/>
      </c>
      <c r="C295">
        <f>Parametros!$B$5+INT(A295/12)</f>
        <v/>
      </c>
      <c r="D295" s="15">
        <f>IFERROR(IF($C$4="H",INDEX(Mortalidad_H!$B$3:$BX$113,MATCH(B295,Mortalidad_H!$A$3:$A$113,0),MATCH(MIN(C295,2100),Mortalidad_H!$B$2:$BX$2,0)),INDEX(Mortalidad_M!$B$3:$BX$93,MATCH(B295,Mortalidad_M!$A$3:$A$93,0),MATCH(MIN(C295,2100),Mortalidad_M!$B$2:$BX$2,0))),1)</f>
        <v/>
      </c>
      <c r="E295" s="15">
        <f>1-(1-D295)^(1/12)</f>
        <v/>
      </c>
      <c r="F295" s="16">
        <f>F294*(1-E294)</f>
        <v/>
      </c>
      <c r="G295" s="16">
        <f>1/(1+$C$7)^(A295/12)</f>
        <v/>
      </c>
      <c r="H295" s="16">
        <f>F295*G295</f>
        <v/>
      </c>
    </row>
    <row r="296">
      <c r="A296" s="14" t="n">
        <v>284</v>
      </c>
      <c r="B296">
        <f>$C$5+INT(A296/12)</f>
        <v/>
      </c>
      <c r="C296">
        <f>Parametros!$B$5+INT(A296/12)</f>
        <v/>
      </c>
      <c r="D296" s="15">
        <f>IFERROR(IF($C$4="H",INDEX(Mortalidad_H!$B$3:$BX$113,MATCH(B296,Mortalidad_H!$A$3:$A$113,0),MATCH(MIN(C296,2100),Mortalidad_H!$B$2:$BX$2,0)),INDEX(Mortalidad_M!$B$3:$BX$93,MATCH(B296,Mortalidad_M!$A$3:$A$93,0),MATCH(MIN(C296,2100),Mortalidad_M!$B$2:$BX$2,0))),1)</f>
        <v/>
      </c>
      <c r="E296" s="15">
        <f>1-(1-D296)^(1/12)</f>
        <v/>
      </c>
      <c r="F296" s="16">
        <f>F295*(1-E295)</f>
        <v/>
      </c>
      <c r="G296" s="16">
        <f>1/(1+$C$7)^(A296/12)</f>
        <v/>
      </c>
      <c r="H296" s="16">
        <f>F296*G296</f>
        <v/>
      </c>
    </row>
    <row r="297">
      <c r="A297" s="14" t="n">
        <v>285</v>
      </c>
      <c r="B297">
        <f>$C$5+INT(A297/12)</f>
        <v/>
      </c>
      <c r="C297">
        <f>Parametros!$B$5+INT(A297/12)</f>
        <v/>
      </c>
      <c r="D297" s="15">
        <f>IFERROR(IF($C$4="H",INDEX(Mortalidad_H!$B$3:$BX$113,MATCH(B297,Mortalidad_H!$A$3:$A$113,0),MATCH(MIN(C297,2100),Mortalidad_H!$B$2:$BX$2,0)),INDEX(Mortalidad_M!$B$3:$BX$93,MATCH(B297,Mortalidad_M!$A$3:$A$93,0),MATCH(MIN(C297,2100),Mortalidad_M!$B$2:$BX$2,0))),1)</f>
        <v/>
      </c>
      <c r="E297" s="15">
        <f>1-(1-D297)^(1/12)</f>
        <v/>
      </c>
      <c r="F297" s="16">
        <f>F296*(1-E296)</f>
        <v/>
      </c>
      <c r="G297" s="16">
        <f>1/(1+$C$7)^(A297/12)</f>
        <v/>
      </c>
      <c r="H297" s="16">
        <f>F297*G297</f>
        <v/>
      </c>
    </row>
    <row r="298">
      <c r="A298" s="14" t="n">
        <v>286</v>
      </c>
      <c r="B298">
        <f>$C$5+INT(A298/12)</f>
        <v/>
      </c>
      <c r="C298">
        <f>Parametros!$B$5+INT(A298/12)</f>
        <v/>
      </c>
      <c r="D298" s="15">
        <f>IFERROR(IF($C$4="H",INDEX(Mortalidad_H!$B$3:$BX$113,MATCH(B298,Mortalidad_H!$A$3:$A$113,0),MATCH(MIN(C298,2100),Mortalidad_H!$B$2:$BX$2,0)),INDEX(Mortalidad_M!$B$3:$BX$93,MATCH(B298,Mortalidad_M!$A$3:$A$93,0),MATCH(MIN(C298,2100),Mortalidad_M!$B$2:$BX$2,0))),1)</f>
        <v/>
      </c>
      <c r="E298" s="15">
        <f>1-(1-D298)^(1/12)</f>
        <v/>
      </c>
      <c r="F298" s="16">
        <f>F297*(1-E297)</f>
        <v/>
      </c>
      <c r="G298" s="16">
        <f>1/(1+$C$7)^(A298/12)</f>
        <v/>
      </c>
      <c r="H298" s="16">
        <f>F298*G298</f>
        <v/>
      </c>
    </row>
    <row r="299">
      <c r="A299" s="14" t="n">
        <v>287</v>
      </c>
      <c r="B299">
        <f>$C$5+INT(A299/12)</f>
        <v/>
      </c>
      <c r="C299">
        <f>Parametros!$B$5+INT(A299/12)</f>
        <v/>
      </c>
      <c r="D299" s="15">
        <f>IFERROR(IF($C$4="H",INDEX(Mortalidad_H!$B$3:$BX$113,MATCH(B299,Mortalidad_H!$A$3:$A$113,0),MATCH(MIN(C299,2100),Mortalidad_H!$B$2:$BX$2,0)),INDEX(Mortalidad_M!$B$3:$BX$93,MATCH(B299,Mortalidad_M!$A$3:$A$93,0),MATCH(MIN(C299,2100),Mortalidad_M!$B$2:$BX$2,0))),1)</f>
        <v/>
      </c>
      <c r="E299" s="15">
        <f>1-(1-D299)^(1/12)</f>
        <v/>
      </c>
      <c r="F299" s="16">
        <f>F298*(1-E298)</f>
        <v/>
      </c>
      <c r="G299" s="16">
        <f>1/(1+$C$7)^(A299/12)</f>
        <v/>
      </c>
      <c r="H299" s="16">
        <f>F299*G299</f>
        <v/>
      </c>
    </row>
    <row r="300">
      <c r="A300" s="14" t="n">
        <v>288</v>
      </c>
      <c r="B300">
        <f>$C$5+INT(A300/12)</f>
        <v/>
      </c>
      <c r="C300">
        <f>Parametros!$B$5+INT(A300/12)</f>
        <v/>
      </c>
      <c r="D300" s="15">
        <f>IFERROR(IF($C$4="H",INDEX(Mortalidad_H!$B$3:$BX$113,MATCH(B300,Mortalidad_H!$A$3:$A$113,0),MATCH(MIN(C300,2100),Mortalidad_H!$B$2:$BX$2,0)),INDEX(Mortalidad_M!$B$3:$BX$93,MATCH(B300,Mortalidad_M!$A$3:$A$93,0),MATCH(MIN(C300,2100),Mortalidad_M!$B$2:$BX$2,0))),1)</f>
        <v/>
      </c>
      <c r="E300" s="15">
        <f>1-(1-D300)^(1/12)</f>
        <v/>
      </c>
      <c r="F300" s="16">
        <f>F299*(1-E299)</f>
        <v/>
      </c>
      <c r="G300" s="16">
        <f>1/(1+$C$7)^(A300/12)</f>
        <v/>
      </c>
      <c r="H300" s="16">
        <f>F300*G300</f>
        <v/>
      </c>
    </row>
    <row r="301">
      <c r="A301" s="14" t="n">
        <v>289</v>
      </c>
      <c r="B301">
        <f>$C$5+INT(A301/12)</f>
        <v/>
      </c>
      <c r="C301">
        <f>Parametros!$B$5+INT(A301/12)</f>
        <v/>
      </c>
      <c r="D301" s="15">
        <f>IFERROR(IF($C$4="H",INDEX(Mortalidad_H!$B$3:$BX$113,MATCH(B301,Mortalidad_H!$A$3:$A$113,0),MATCH(MIN(C301,2100),Mortalidad_H!$B$2:$BX$2,0)),INDEX(Mortalidad_M!$B$3:$BX$93,MATCH(B301,Mortalidad_M!$A$3:$A$93,0),MATCH(MIN(C301,2100),Mortalidad_M!$B$2:$BX$2,0))),1)</f>
        <v/>
      </c>
      <c r="E301" s="15">
        <f>1-(1-D301)^(1/12)</f>
        <v/>
      </c>
      <c r="F301" s="16">
        <f>F300*(1-E300)</f>
        <v/>
      </c>
      <c r="G301" s="16">
        <f>1/(1+$C$7)^(A301/12)</f>
        <v/>
      </c>
      <c r="H301" s="16">
        <f>F301*G301</f>
        <v/>
      </c>
    </row>
    <row r="302">
      <c r="A302" s="14" t="n">
        <v>290</v>
      </c>
      <c r="B302">
        <f>$C$5+INT(A302/12)</f>
        <v/>
      </c>
      <c r="C302">
        <f>Parametros!$B$5+INT(A302/12)</f>
        <v/>
      </c>
      <c r="D302" s="15">
        <f>IFERROR(IF($C$4="H",INDEX(Mortalidad_H!$B$3:$BX$113,MATCH(B302,Mortalidad_H!$A$3:$A$113,0),MATCH(MIN(C302,2100),Mortalidad_H!$B$2:$BX$2,0)),INDEX(Mortalidad_M!$B$3:$BX$93,MATCH(B302,Mortalidad_M!$A$3:$A$93,0),MATCH(MIN(C302,2100),Mortalidad_M!$B$2:$BX$2,0))),1)</f>
        <v/>
      </c>
      <c r="E302" s="15">
        <f>1-(1-D302)^(1/12)</f>
        <v/>
      </c>
      <c r="F302" s="16">
        <f>F301*(1-E301)</f>
        <v/>
      </c>
      <c r="G302" s="16">
        <f>1/(1+$C$7)^(A302/12)</f>
        <v/>
      </c>
      <c r="H302" s="16">
        <f>F302*G302</f>
        <v/>
      </c>
    </row>
    <row r="303">
      <c r="A303" s="14" t="n">
        <v>291</v>
      </c>
      <c r="B303">
        <f>$C$5+INT(A303/12)</f>
        <v/>
      </c>
      <c r="C303">
        <f>Parametros!$B$5+INT(A303/12)</f>
        <v/>
      </c>
      <c r="D303" s="15">
        <f>IFERROR(IF($C$4="H",INDEX(Mortalidad_H!$B$3:$BX$113,MATCH(B303,Mortalidad_H!$A$3:$A$113,0),MATCH(MIN(C303,2100),Mortalidad_H!$B$2:$BX$2,0)),INDEX(Mortalidad_M!$B$3:$BX$93,MATCH(B303,Mortalidad_M!$A$3:$A$93,0),MATCH(MIN(C303,2100),Mortalidad_M!$B$2:$BX$2,0))),1)</f>
        <v/>
      </c>
      <c r="E303" s="15">
        <f>1-(1-D303)^(1/12)</f>
        <v/>
      </c>
      <c r="F303" s="16">
        <f>F302*(1-E302)</f>
        <v/>
      </c>
      <c r="G303" s="16">
        <f>1/(1+$C$7)^(A303/12)</f>
        <v/>
      </c>
      <c r="H303" s="16">
        <f>F303*G303</f>
        <v/>
      </c>
    </row>
    <row r="304">
      <c r="A304" s="14" t="n">
        <v>292</v>
      </c>
      <c r="B304">
        <f>$C$5+INT(A304/12)</f>
        <v/>
      </c>
      <c r="C304">
        <f>Parametros!$B$5+INT(A304/12)</f>
        <v/>
      </c>
      <c r="D304" s="15">
        <f>IFERROR(IF($C$4="H",INDEX(Mortalidad_H!$B$3:$BX$113,MATCH(B304,Mortalidad_H!$A$3:$A$113,0),MATCH(MIN(C304,2100),Mortalidad_H!$B$2:$BX$2,0)),INDEX(Mortalidad_M!$B$3:$BX$93,MATCH(B304,Mortalidad_M!$A$3:$A$93,0),MATCH(MIN(C304,2100),Mortalidad_M!$B$2:$BX$2,0))),1)</f>
        <v/>
      </c>
      <c r="E304" s="15">
        <f>1-(1-D304)^(1/12)</f>
        <v/>
      </c>
      <c r="F304" s="16">
        <f>F303*(1-E303)</f>
        <v/>
      </c>
      <c r="G304" s="16">
        <f>1/(1+$C$7)^(A304/12)</f>
        <v/>
      </c>
      <c r="H304" s="16">
        <f>F304*G304</f>
        <v/>
      </c>
    </row>
    <row r="305">
      <c r="A305" s="14" t="n">
        <v>293</v>
      </c>
      <c r="B305">
        <f>$C$5+INT(A305/12)</f>
        <v/>
      </c>
      <c r="C305">
        <f>Parametros!$B$5+INT(A305/12)</f>
        <v/>
      </c>
      <c r="D305" s="15">
        <f>IFERROR(IF($C$4="H",INDEX(Mortalidad_H!$B$3:$BX$113,MATCH(B305,Mortalidad_H!$A$3:$A$113,0),MATCH(MIN(C305,2100),Mortalidad_H!$B$2:$BX$2,0)),INDEX(Mortalidad_M!$B$3:$BX$93,MATCH(B305,Mortalidad_M!$A$3:$A$93,0),MATCH(MIN(C305,2100),Mortalidad_M!$B$2:$BX$2,0))),1)</f>
        <v/>
      </c>
      <c r="E305" s="15">
        <f>1-(1-D305)^(1/12)</f>
        <v/>
      </c>
      <c r="F305" s="16">
        <f>F304*(1-E304)</f>
        <v/>
      </c>
      <c r="G305" s="16">
        <f>1/(1+$C$7)^(A305/12)</f>
        <v/>
      </c>
      <c r="H305" s="16">
        <f>F305*G305</f>
        <v/>
      </c>
    </row>
    <row r="306">
      <c r="A306" s="14" t="n">
        <v>294</v>
      </c>
      <c r="B306">
        <f>$C$5+INT(A306/12)</f>
        <v/>
      </c>
      <c r="C306">
        <f>Parametros!$B$5+INT(A306/12)</f>
        <v/>
      </c>
      <c r="D306" s="15">
        <f>IFERROR(IF($C$4="H",INDEX(Mortalidad_H!$B$3:$BX$113,MATCH(B306,Mortalidad_H!$A$3:$A$113,0),MATCH(MIN(C306,2100),Mortalidad_H!$B$2:$BX$2,0)),INDEX(Mortalidad_M!$B$3:$BX$93,MATCH(B306,Mortalidad_M!$A$3:$A$93,0),MATCH(MIN(C306,2100),Mortalidad_M!$B$2:$BX$2,0))),1)</f>
        <v/>
      </c>
      <c r="E306" s="15">
        <f>1-(1-D306)^(1/12)</f>
        <v/>
      </c>
      <c r="F306" s="16">
        <f>F305*(1-E305)</f>
        <v/>
      </c>
      <c r="G306" s="16">
        <f>1/(1+$C$7)^(A306/12)</f>
        <v/>
      </c>
      <c r="H306" s="16">
        <f>F306*G306</f>
        <v/>
      </c>
    </row>
    <row r="307">
      <c r="A307" s="14" t="n">
        <v>295</v>
      </c>
      <c r="B307">
        <f>$C$5+INT(A307/12)</f>
        <v/>
      </c>
      <c r="C307">
        <f>Parametros!$B$5+INT(A307/12)</f>
        <v/>
      </c>
      <c r="D307" s="15">
        <f>IFERROR(IF($C$4="H",INDEX(Mortalidad_H!$B$3:$BX$113,MATCH(B307,Mortalidad_H!$A$3:$A$113,0),MATCH(MIN(C307,2100),Mortalidad_H!$B$2:$BX$2,0)),INDEX(Mortalidad_M!$B$3:$BX$93,MATCH(B307,Mortalidad_M!$A$3:$A$93,0),MATCH(MIN(C307,2100),Mortalidad_M!$B$2:$BX$2,0))),1)</f>
        <v/>
      </c>
      <c r="E307" s="15">
        <f>1-(1-D307)^(1/12)</f>
        <v/>
      </c>
      <c r="F307" s="16">
        <f>F306*(1-E306)</f>
        <v/>
      </c>
      <c r="G307" s="16">
        <f>1/(1+$C$7)^(A307/12)</f>
        <v/>
      </c>
      <c r="H307" s="16">
        <f>F307*G307</f>
        <v/>
      </c>
    </row>
    <row r="308">
      <c r="A308" s="14" t="n">
        <v>296</v>
      </c>
      <c r="B308">
        <f>$C$5+INT(A308/12)</f>
        <v/>
      </c>
      <c r="C308">
        <f>Parametros!$B$5+INT(A308/12)</f>
        <v/>
      </c>
      <c r="D308" s="15">
        <f>IFERROR(IF($C$4="H",INDEX(Mortalidad_H!$B$3:$BX$113,MATCH(B308,Mortalidad_H!$A$3:$A$113,0),MATCH(MIN(C308,2100),Mortalidad_H!$B$2:$BX$2,0)),INDEX(Mortalidad_M!$B$3:$BX$93,MATCH(B308,Mortalidad_M!$A$3:$A$93,0),MATCH(MIN(C308,2100),Mortalidad_M!$B$2:$BX$2,0))),1)</f>
        <v/>
      </c>
      <c r="E308" s="15">
        <f>1-(1-D308)^(1/12)</f>
        <v/>
      </c>
      <c r="F308" s="16">
        <f>F307*(1-E307)</f>
        <v/>
      </c>
      <c r="G308" s="16">
        <f>1/(1+$C$7)^(A308/12)</f>
        <v/>
      </c>
      <c r="H308" s="16">
        <f>F308*G308</f>
        <v/>
      </c>
    </row>
    <row r="309">
      <c r="A309" s="14" t="n">
        <v>297</v>
      </c>
      <c r="B309">
        <f>$C$5+INT(A309/12)</f>
        <v/>
      </c>
      <c r="C309">
        <f>Parametros!$B$5+INT(A309/12)</f>
        <v/>
      </c>
      <c r="D309" s="15">
        <f>IFERROR(IF($C$4="H",INDEX(Mortalidad_H!$B$3:$BX$113,MATCH(B309,Mortalidad_H!$A$3:$A$113,0),MATCH(MIN(C309,2100),Mortalidad_H!$B$2:$BX$2,0)),INDEX(Mortalidad_M!$B$3:$BX$93,MATCH(B309,Mortalidad_M!$A$3:$A$93,0),MATCH(MIN(C309,2100),Mortalidad_M!$B$2:$BX$2,0))),1)</f>
        <v/>
      </c>
      <c r="E309" s="15">
        <f>1-(1-D309)^(1/12)</f>
        <v/>
      </c>
      <c r="F309" s="16">
        <f>F308*(1-E308)</f>
        <v/>
      </c>
      <c r="G309" s="16">
        <f>1/(1+$C$7)^(A309/12)</f>
        <v/>
      </c>
      <c r="H309" s="16">
        <f>F309*G309</f>
        <v/>
      </c>
    </row>
    <row r="310">
      <c r="A310" s="14" t="n">
        <v>298</v>
      </c>
      <c r="B310">
        <f>$C$5+INT(A310/12)</f>
        <v/>
      </c>
      <c r="C310">
        <f>Parametros!$B$5+INT(A310/12)</f>
        <v/>
      </c>
      <c r="D310" s="15">
        <f>IFERROR(IF($C$4="H",INDEX(Mortalidad_H!$B$3:$BX$113,MATCH(B310,Mortalidad_H!$A$3:$A$113,0),MATCH(MIN(C310,2100),Mortalidad_H!$B$2:$BX$2,0)),INDEX(Mortalidad_M!$B$3:$BX$93,MATCH(B310,Mortalidad_M!$A$3:$A$93,0),MATCH(MIN(C310,2100),Mortalidad_M!$B$2:$BX$2,0))),1)</f>
        <v/>
      </c>
      <c r="E310" s="15">
        <f>1-(1-D310)^(1/12)</f>
        <v/>
      </c>
      <c r="F310" s="16">
        <f>F309*(1-E309)</f>
        <v/>
      </c>
      <c r="G310" s="16">
        <f>1/(1+$C$7)^(A310/12)</f>
        <v/>
      </c>
      <c r="H310" s="16">
        <f>F310*G310</f>
        <v/>
      </c>
    </row>
    <row r="311">
      <c r="A311" s="14" t="n">
        <v>299</v>
      </c>
      <c r="B311">
        <f>$C$5+INT(A311/12)</f>
        <v/>
      </c>
      <c r="C311">
        <f>Parametros!$B$5+INT(A311/12)</f>
        <v/>
      </c>
      <c r="D311" s="15">
        <f>IFERROR(IF($C$4="H",INDEX(Mortalidad_H!$B$3:$BX$113,MATCH(B311,Mortalidad_H!$A$3:$A$113,0),MATCH(MIN(C311,2100),Mortalidad_H!$B$2:$BX$2,0)),INDEX(Mortalidad_M!$B$3:$BX$93,MATCH(B311,Mortalidad_M!$A$3:$A$93,0),MATCH(MIN(C311,2100),Mortalidad_M!$B$2:$BX$2,0))),1)</f>
        <v/>
      </c>
      <c r="E311" s="15">
        <f>1-(1-D311)^(1/12)</f>
        <v/>
      </c>
      <c r="F311" s="16">
        <f>F310*(1-E310)</f>
        <v/>
      </c>
      <c r="G311" s="16">
        <f>1/(1+$C$7)^(A311/12)</f>
        <v/>
      </c>
      <c r="H311" s="16">
        <f>F311*G311</f>
        <v/>
      </c>
    </row>
    <row r="312">
      <c r="A312" s="14" t="n">
        <v>300</v>
      </c>
      <c r="B312">
        <f>$C$5+INT(A312/12)</f>
        <v/>
      </c>
      <c r="C312">
        <f>Parametros!$B$5+INT(A312/12)</f>
        <v/>
      </c>
      <c r="D312" s="15">
        <f>IFERROR(IF($C$4="H",INDEX(Mortalidad_H!$B$3:$BX$113,MATCH(B312,Mortalidad_H!$A$3:$A$113,0),MATCH(MIN(C312,2100),Mortalidad_H!$B$2:$BX$2,0)),INDEX(Mortalidad_M!$B$3:$BX$93,MATCH(B312,Mortalidad_M!$A$3:$A$93,0),MATCH(MIN(C312,2100),Mortalidad_M!$B$2:$BX$2,0))),1)</f>
        <v/>
      </c>
      <c r="E312" s="15">
        <f>1-(1-D312)^(1/12)</f>
        <v/>
      </c>
      <c r="F312" s="16">
        <f>F311*(1-E311)</f>
        <v/>
      </c>
      <c r="G312" s="16">
        <f>1/(1+$C$7)^(A312/12)</f>
        <v/>
      </c>
      <c r="H312" s="16">
        <f>F312*G312</f>
        <v/>
      </c>
    </row>
    <row r="313">
      <c r="A313" s="14" t="n">
        <v>301</v>
      </c>
      <c r="B313">
        <f>$C$5+INT(A313/12)</f>
        <v/>
      </c>
      <c r="C313">
        <f>Parametros!$B$5+INT(A313/12)</f>
        <v/>
      </c>
      <c r="D313" s="15">
        <f>IFERROR(IF($C$4="H",INDEX(Mortalidad_H!$B$3:$BX$113,MATCH(B313,Mortalidad_H!$A$3:$A$113,0),MATCH(MIN(C313,2100),Mortalidad_H!$B$2:$BX$2,0)),INDEX(Mortalidad_M!$B$3:$BX$93,MATCH(B313,Mortalidad_M!$A$3:$A$93,0),MATCH(MIN(C313,2100),Mortalidad_M!$B$2:$BX$2,0))),1)</f>
        <v/>
      </c>
      <c r="E313" s="15">
        <f>1-(1-D313)^(1/12)</f>
        <v/>
      </c>
      <c r="F313" s="16">
        <f>F312*(1-E312)</f>
        <v/>
      </c>
      <c r="G313" s="16">
        <f>1/(1+$C$7)^(A313/12)</f>
        <v/>
      </c>
      <c r="H313" s="16">
        <f>F313*G313</f>
        <v/>
      </c>
    </row>
    <row r="314">
      <c r="A314" s="14" t="n">
        <v>302</v>
      </c>
      <c r="B314">
        <f>$C$5+INT(A314/12)</f>
        <v/>
      </c>
      <c r="C314">
        <f>Parametros!$B$5+INT(A314/12)</f>
        <v/>
      </c>
      <c r="D314" s="15">
        <f>IFERROR(IF($C$4="H",INDEX(Mortalidad_H!$B$3:$BX$113,MATCH(B314,Mortalidad_H!$A$3:$A$113,0),MATCH(MIN(C314,2100),Mortalidad_H!$B$2:$BX$2,0)),INDEX(Mortalidad_M!$B$3:$BX$93,MATCH(B314,Mortalidad_M!$A$3:$A$93,0),MATCH(MIN(C314,2100),Mortalidad_M!$B$2:$BX$2,0))),1)</f>
        <v/>
      </c>
      <c r="E314" s="15">
        <f>1-(1-D314)^(1/12)</f>
        <v/>
      </c>
      <c r="F314" s="16">
        <f>F313*(1-E313)</f>
        <v/>
      </c>
      <c r="G314" s="16">
        <f>1/(1+$C$7)^(A314/12)</f>
        <v/>
      </c>
      <c r="H314" s="16">
        <f>F314*G314</f>
        <v/>
      </c>
    </row>
    <row r="315">
      <c r="A315" s="14" t="n">
        <v>303</v>
      </c>
      <c r="B315">
        <f>$C$5+INT(A315/12)</f>
        <v/>
      </c>
      <c r="C315">
        <f>Parametros!$B$5+INT(A315/12)</f>
        <v/>
      </c>
      <c r="D315" s="15">
        <f>IFERROR(IF($C$4="H",INDEX(Mortalidad_H!$B$3:$BX$113,MATCH(B315,Mortalidad_H!$A$3:$A$113,0),MATCH(MIN(C315,2100),Mortalidad_H!$B$2:$BX$2,0)),INDEX(Mortalidad_M!$B$3:$BX$93,MATCH(B315,Mortalidad_M!$A$3:$A$93,0),MATCH(MIN(C315,2100),Mortalidad_M!$B$2:$BX$2,0))),1)</f>
        <v/>
      </c>
      <c r="E315" s="15">
        <f>1-(1-D315)^(1/12)</f>
        <v/>
      </c>
      <c r="F315" s="16">
        <f>F314*(1-E314)</f>
        <v/>
      </c>
      <c r="G315" s="16">
        <f>1/(1+$C$7)^(A315/12)</f>
        <v/>
      </c>
      <c r="H315" s="16">
        <f>F315*G315</f>
        <v/>
      </c>
    </row>
    <row r="316">
      <c r="A316" s="14" t="n">
        <v>304</v>
      </c>
      <c r="B316">
        <f>$C$5+INT(A316/12)</f>
        <v/>
      </c>
      <c r="C316">
        <f>Parametros!$B$5+INT(A316/12)</f>
        <v/>
      </c>
      <c r="D316" s="15">
        <f>IFERROR(IF($C$4="H",INDEX(Mortalidad_H!$B$3:$BX$113,MATCH(B316,Mortalidad_H!$A$3:$A$113,0),MATCH(MIN(C316,2100),Mortalidad_H!$B$2:$BX$2,0)),INDEX(Mortalidad_M!$B$3:$BX$93,MATCH(B316,Mortalidad_M!$A$3:$A$93,0),MATCH(MIN(C316,2100),Mortalidad_M!$B$2:$BX$2,0))),1)</f>
        <v/>
      </c>
      <c r="E316" s="15">
        <f>1-(1-D316)^(1/12)</f>
        <v/>
      </c>
      <c r="F316" s="16">
        <f>F315*(1-E315)</f>
        <v/>
      </c>
      <c r="G316" s="16">
        <f>1/(1+$C$7)^(A316/12)</f>
        <v/>
      </c>
      <c r="H316" s="16">
        <f>F316*G316</f>
        <v/>
      </c>
    </row>
    <row r="317">
      <c r="A317" s="14" t="n">
        <v>305</v>
      </c>
      <c r="B317">
        <f>$C$5+INT(A317/12)</f>
        <v/>
      </c>
      <c r="C317">
        <f>Parametros!$B$5+INT(A317/12)</f>
        <v/>
      </c>
      <c r="D317" s="15">
        <f>IFERROR(IF($C$4="H",INDEX(Mortalidad_H!$B$3:$BX$113,MATCH(B317,Mortalidad_H!$A$3:$A$113,0),MATCH(MIN(C317,2100),Mortalidad_H!$B$2:$BX$2,0)),INDEX(Mortalidad_M!$B$3:$BX$93,MATCH(B317,Mortalidad_M!$A$3:$A$93,0),MATCH(MIN(C317,2100),Mortalidad_M!$B$2:$BX$2,0))),1)</f>
        <v/>
      </c>
      <c r="E317" s="15">
        <f>1-(1-D317)^(1/12)</f>
        <v/>
      </c>
      <c r="F317" s="16">
        <f>F316*(1-E316)</f>
        <v/>
      </c>
      <c r="G317" s="16">
        <f>1/(1+$C$7)^(A317/12)</f>
        <v/>
      </c>
      <c r="H317" s="16">
        <f>F317*G317</f>
        <v/>
      </c>
    </row>
    <row r="318">
      <c r="A318" s="14" t="n">
        <v>306</v>
      </c>
      <c r="B318">
        <f>$C$5+INT(A318/12)</f>
        <v/>
      </c>
      <c r="C318">
        <f>Parametros!$B$5+INT(A318/12)</f>
        <v/>
      </c>
      <c r="D318" s="15">
        <f>IFERROR(IF($C$4="H",INDEX(Mortalidad_H!$B$3:$BX$113,MATCH(B318,Mortalidad_H!$A$3:$A$113,0),MATCH(MIN(C318,2100),Mortalidad_H!$B$2:$BX$2,0)),INDEX(Mortalidad_M!$B$3:$BX$93,MATCH(B318,Mortalidad_M!$A$3:$A$93,0),MATCH(MIN(C318,2100),Mortalidad_M!$B$2:$BX$2,0))),1)</f>
        <v/>
      </c>
      <c r="E318" s="15">
        <f>1-(1-D318)^(1/12)</f>
        <v/>
      </c>
      <c r="F318" s="16">
        <f>F317*(1-E317)</f>
        <v/>
      </c>
      <c r="G318" s="16">
        <f>1/(1+$C$7)^(A318/12)</f>
        <v/>
      </c>
      <c r="H318" s="16">
        <f>F318*G318</f>
        <v/>
      </c>
    </row>
    <row r="319">
      <c r="A319" s="14" t="n">
        <v>307</v>
      </c>
      <c r="B319">
        <f>$C$5+INT(A319/12)</f>
        <v/>
      </c>
      <c r="C319">
        <f>Parametros!$B$5+INT(A319/12)</f>
        <v/>
      </c>
      <c r="D319" s="15">
        <f>IFERROR(IF($C$4="H",INDEX(Mortalidad_H!$B$3:$BX$113,MATCH(B319,Mortalidad_H!$A$3:$A$113,0),MATCH(MIN(C319,2100),Mortalidad_H!$B$2:$BX$2,0)),INDEX(Mortalidad_M!$B$3:$BX$93,MATCH(B319,Mortalidad_M!$A$3:$A$93,0),MATCH(MIN(C319,2100),Mortalidad_M!$B$2:$BX$2,0))),1)</f>
        <v/>
      </c>
      <c r="E319" s="15">
        <f>1-(1-D319)^(1/12)</f>
        <v/>
      </c>
      <c r="F319" s="16">
        <f>F318*(1-E318)</f>
        <v/>
      </c>
      <c r="G319" s="16">
        <f>1/(1+$C$7)^(A319/12)</f>
        <v/>
      </c>
      <c r="H319" s="16">
        <f>F319*G319</f>
        <v/>
      </c>
    </row>
    <row r="320">
      <c r="A320" s="14" t="n">
        <v>308</v>
      </c>
      <c r="B320">
        <f>$C$5+INT(A320/12)</f>
        <v/>
      </c>
      <c r="C320">
        <f>Parametros!$B$5+INT(A320/12)</f>
        <v/>
      </c>
      <c r="D320" s="15">
        <f>IFERROR(IF($C$4="H",INDEX(Mortalidad_H!$B$3:$BX$113,MATCH(B320,Mortalidad_H!$A$3:$A$113,0),MATCH(MIN(C320,2100),Mortalidad_H!$B$2:$BX$2,0)),INDEX(Mortalidad_M!$B$3:$BX$93,MATCH(B320,Mortalidad_M!$A$3:$A$93,0),MATCH(MIN(C320,2100),Mortalidad_M!$B$2:$BX$2,0))),1)</f>
        <v/>
      </c>
      <c r="E320" s="15">
        <f>1-(1-D320)^(1/12)</f>
        <v/>
      </c>
      <c r="F320" s="16">
        <f>F319*(1-E319)</f>
        <v/>
      </c>
      <c r="G320" s="16">
        <f>1/(1+$C$7)^(A320/12)</f>
        <v/>
      </c>
      <c r="H320" s="16">
        <f>F320*G320</f>
        <v/>
      </c>
    </row>
    <row r="321">
      <c r="A321" s="14" t="n">
        <v>309</v>
      </c>
      <c r="B321">
        <f>$C$5+INT(A321/12)</f>
        <v/>
      </c>
      <c r="C321">
        <f>Parametros!$B$5+INT(A321/12)</f>
        <v/>
      </c>
      <c r="D321" s="15">
        <f>IFERROR(IF($C$4="H",INDEX(Mortalidad_H!$B$3:$BX$113,MATCH(B321,Mortalidad_H!$A$3:$A$113,0),MATCH(MIN(C321,2100),Mortalidad_H!$B$2:$BX$2,0)),INDEX(Mortalidad_M!$B$3:$BX$93,MATCH(B321,Mortalidad_M!$A$3:$A$93,0),MATCH(MIN(C321,2100),Mortalidad_M!$B$2:$BX$2,0))),1)</f>
        <v/>
      </c>
      <c r="E321" s="15">
        <f>1-(1-D321)^(1/12)</f>
        <v/>
      </c>
      <c r="F321" s="16">
        <f>F320*(1-E320)</f>
        <v/>
      </c>
      <c r="G321" s="16">
        <f>1/(1+$C$7)^(A321/12)</f>
        <v/>
      </c>
      <c r="H321" s="16">
        <f>F321*G321</f>
        <v/>
      </c>
    </row>
    <row r="322">
      <c r="A322" s="14" t="n">
        <v>310</v>
      </c>
      <c r="B322">
        <f>$C$5+INT(A322/12)</f>
        <v/>
      </c>
      <c r="C322">
        <f>Parametros!$B$5+INT(A322/12)</f>
        <v/>
      </c>
      <c r="D322" s="15">
        <f>IFERROR(IF($C$4="H",INDEX(Mortalidad_H!$B$3:$BX$113,MATCH(B322,Mortalidad_H!$A$3:$A$113,0),MATCH(MIN(C322,2100),Mortalidad_H!$B$2:$BX$2,0)),INDEX(Mortalidad_M!$B$3:$BX$93,MATCH(B322,Mortalidad_M!$A$3:$A$93,0),MATCH(MIN(C322,2100),Mortalidad_M!$B$2:$BX$2,0))),1)</f>
        <v/>
      </c>
      <c r="E322" s="15">
        <f>1-(1-D322)^(1/12)</f>
        <v/>
      </c>
      <c r="F322" s="16">
        <f>F321*(1-E321)</f>
        <v/>
      </c>
      <c r="G322" s="16">
        <f>1/(1+$C$7)^(A322/12)</f>
        <v/>
      </c>
      <c r="H322" s="16">
        <f>F322*G322</f>
        <v/>
      </c>
    </row>
    <row r="323">
      <c r="A323" s="14" t="n">
        <v>311</v>
      </c>
      <c r="B323">
        <f>$C$5+INT(A323/12)</f>
        <v/>
      </c>
      <c r="C323">
        <f>Parametros!$B$5+INT(A323/12)</f>
        <v/>
      </c>
      <c r="D323" s="15">
        <f>IFERROR(IF($C$4="H",INDEX(Mortalidad_H!$B$3:$BX$113,MATCH(B323,Mortalidad_H!$A$3:$A$113,0),MATCH(MIN(C323,2100),Mortalidad_H!$B$2:$BX$2,0)),INDEX(Mortalidad_M!$B$3:$BX$93,MATCH(B323,Mortalidad_M!$A$3:$A$93,0),MATCH(MIN(C323,2100),Mortalidad_M!$B$2:$BX$2,0))),1)</f>
        <v/>
      </c>
      <c r="E323" s="15">
        <f>1-(1-D323)^(1/12)</f>
        <v/>
      </c>
      <c r="F323" s="16">
        <f>F322*(1-E322)</f>
        <v/>
      </c>
      <c r="G323" s="16">
        <f>1/(1+$C$7)^(A323/12)</f>
        <v/>
      </c>
      <c r="H323" s="16">
        <f>F323*G323</f>
        <v/>
      </c>
    </row>
    <row r="324">
      <c r="A324" s="14" t="n">
        <v>312</v>
      </c>
      <c r="B324">
        <f>$C$5+INT(A324/12)</f>
        <v/>
      </c>
      <c r="C324">
        <f>Parametros!$B$5+INT(A324/12)</f>
        <v/>
      </c>
      <c r="D324" s="15">
        <f>IFERROR(IF($C$4="H",INDEX(Mortalidad_H!$B$3:$BX$113,MATCH(B324,Mortalidad_H!$A$3:$A$113,0),MATCH(MIN(C324,2100),Mortalidad_H!$B$2:$BX$2,0)),INDEX(Mortalidad_M!$B$3:$BX$93,MATCH(B324,Mortalidad_M!$A$3:$A$93,0),MATCH(MIN(C324,2100),Mortalidad_M!$B$2:$BX$2,0))),1)</f>
        <v/>
      </c>
      <c r="E324" s="15">
        <f>1-(1-D324)^(1/12)</f>
        <v/>
      </c>
      <c r="F324" s="16">
        <f>F323*(1-E323)</f>
        <v/>
      </c>
      <c r="G324" s="16">
        <f>1/(1+$C$7)^(A324/12)</f>
        <v/>
      </c>
      <c r="H324" s="16">
        <f>F324*G324</f>
        <v/>
      </c>
    </row>
    <row r="325">
      <c r="A325" s="14" t="n">
        <v>313</v>
      </c>
      <c r="B325">
        <f>$C$5+INT(A325/12)</f>
        <v/>
      </c>
      <c r="C325">
        <f>Parametros!$B$5+INT(A325/12)</f>
        <v/>
      </c>
      <c r="D325" s="15">
        <f>IFERROR(IF($C$4="H",INDEX(Mortalidad_H!$B$3:$BX$113,MATCH(B325,Mortalidad_H!$A$3:$A$113,0),MATCH(MIN(C325,2100),Mortalidad_H!$B$2:$BX$2,0)),INDEX(Mortalidad_M!$B$3:$BX$93,MATCH(B325,Mortalidad_M!$A$3:$A$93,0),MATCH(MIN(C325,2100),Mortalidad_M!$B$2:$BX$2,0))),1)</f>
        <v/>
      </c>
      <c r="E325" s="15">
        <f>1-(1-D325)^(1/12)</f>
        <v/>
      </c>
      <c r="F325" s="16">
        <f>F324*(1-E324)</f>
        <v/>
      </c>
      <c r="G325" s="16">
        <f>1/(1+$C$7)^(A325/12)</f>
        <v/>
      </c>
      <c r="H325" s="16">
        <f>F325*G325</f>
        <v/>
      </c>
    </row>
    <row r="326">
      <c r="A326" s="14" t="n">
        <v>314</v>
      </c>
      <c r="B326">
        <f>$C$5+INT(A326/12)</f>
        <v/>
      </c>
      <c r="C326">
        <f>Parametros!$B$5+INT(A326/12)</f>
        <v/>
      </c>
      <c r="D326" s="15">
        <f>IFERROR(IF($C$4="H",INDEX(Mortalidad_H!$B$3:$BX$113,MATCH(B326,Mortalidad_H!$A$3:$A$113,0),MATCH(MIN(C326,2100),Mortalidad_H!$B$2:$BX$2,0)),INDEX(Mortalidad_M!$B$3:$BX$93,MATCH(B326,Mortalidad_M!$A$3:$A$93,0),MATCH(MIN(C326,2100),Mortalidad_M!$B$2:$BX$2,0))),1)</f>
        <v/>
      </c>
      <c r="E326" s="15">
        <f>1-(1-D326)^(1/12)</f>
        <v/>
      </c>
      <c r="F326" s="16">
        <f>F325*(1-E325)</f>
        <v/>
      </c>
      <c r="G326" s="16">
        <f>1/(1+$C$7)^(A326/12)</f>
        <v/>
      </c>
      <c r="H326" s="16">
        <f>F326*G326</f>
        <v/>
      </c>
    </row>
    <row r="327">
      <c r="A327" s="14" t="n">
        <v>315</v>
      </c>
      <c r="B327">
        <f>$C$5+INT(A327/12)</f>
        <v/>
      </c>
      <c r="C327">
        <f>Parametros!$B$5+INT(A327/12)</f>
        <v/>
      </c>
      <c r="D327" s="15">
        <f>IFERROR(IF($C$4="H",INDEX(Mortalidad_H!$B$3:$BX$113,MATCH(B327,Mortalidad_H!$A$3:$A$113,0),MATCH(MIN(C327,2100),Mortalidad_H!$B$2:$BX$2,0)),INDEX(Mortalidad_M!$B$3:$BX$93,MATCH(B327,Mortalidad_M!$A$3:$A$93,0),MATCH(MIN(C327,2100),Mortalidad_M!$B$2:$BX$2,0))),1)</f>
        <v/>
      </c>
      <c r="E327" s="15">
        <f>1-(1-D327)^(1/12)</f>
        <v/>
      </c>
      <c r="F327" s="16">
        <f>F326*(1-E326)</f>
        <v/>
      </c>
      <c r="G327" s="16">
        <f>1/(1+$C$7)^(A327/12)</f>
        <v/>
      </c>
      <c r="H327" s="16">
        <f>F327*G327</f>
        <v/>
      </c>
    </row>
    <row r="328">
      <c r="A328" s="14" t="n">
        <v>316</v>
      </c>
      <c r="B328">
        <f>$C$5+INT(A328/12)</f>
        <v/>
      </c>
      <c r="C328">
        <f>Parametros!$B$5+INT(A328/12)</f>
        <v/>
      </c>
      <c r="D328" s="15">
        <f>IFERROR(IF($C$4="H",INDEX(Mortalidad_H!$B$3:$BX$113,MATCH(B328,Mortalidad_H!$A$3:$A$113,0),MATCH(MIN(C328,2100),Mortalidad_H!$B$2:$BX$2,0)),INDEX(Mortalidad_M!$B$3:$BX$93,MATCH(B328,Mortalidad_M!$A$3:$A$93,0),MATCH(MIN(C328,2100),Mortalidad_M!$B$2:$BX$2,0))),1)</f>
        <v/>
      </c>
      <c r="E328" s="15">
        <f>1-(1-D328)^(1/12)</f>
        <v/>
      </c>
      <c r="F328" s="16">
        <f>F327*(1-E327)</f>
        <v/>
      </c>
      <c r="G328" s="16">
        <f>1/(1+$C$7)^(A328/12)</f>
        <v/>
      </c>
      <c r="H328" s="16">
        <f>F328*G328</f>
        <v/>
      </c>
    </row>
    <row r="329">
      <c r="A329" s="14" t="n">
        <v>317</v>
      </c>
      <c r="B329">
        <f>$C$5+INT(A329/12)</f>
        <v/>
      </c>
      <c r="C329">
        <f>Parametros!$B$5+INT(A329/12)</f>
        <v/>
      </c>
      <c r="D329" s="15">
        <f>IFERROR(IF($C$4="H",INDEX(Mortalidad_H!$B$3:$BX$113,MATCH(B329,Mortalidad_H!$A$3:$A$113,0),MATCH(MIN(C329,2100),Mortalidad_H!$B$2:$BX$2,0)),INDEX(Mortalidad_M!$B$3:$BX$93,MATCH(B329,Mortalidad_M!$A$3:$A$93,0),MATCH(MIN(C329,2100),Mortalidad_M!$B$2:$BX$2,0))),1)</f>
        <v/>
      </c>
      <c r="E329" s="15">
        <f>1-(1-D329)^(1/12)</f>
        <v/>
      </c>
      <c r="F329" s="16">
        <f>F328*(1-E328)</f>
        <v/>
      </c>
      <c r="G329" s="16">
        <f>1/(1+$C$7)^(A329/12)</f>
        <v/>
      </c>
      <c r="H329" s="16">
        <f>F329*G329</f>
        <v/>
      </c>
    </row>
    <row r="330">
      <c r="A330" s="14" t="n">
        <v>318</v>
      </c>
      <c r="B330">
        <f>$C$5+INT(A330/12)</f>
        <v/>
      </c>
      <c r="C330">
        <f>Parametros!$B$5+INT(A330/12)</f>
        <v/>
      </c>
      <c r="D330" s="15">
        <f>IFERROR(IF($C$4="H",INDEX(Mortalidad_H!$B$3:$BX$113,MATCH(B330,Mortalidad_H!$A$3:$A$113,0),MATCH(MIN(C330,2100),Mortalidad_H!$B$2:$BX$2,0)),INDEX(Mortalidad_M!$B$3:$BX$93,MATCH(B330,Mortalidad_M!$A$3:$A$93,0),MATCH(MIN(C330,2100),Mortalidad_M!$B$2:$BX$2,0))),1)</f>
        <v/>
      </c>
      <c r="E330" s="15">
        <f>1-(1-D330)^(1/12)</f>
        <v/>
      </c>
      <c r="F330" s="16">
        <f>F329*(1-E329)</f>
        <v/>
      </c>
      <c r="G330" s="16">
        <f>1/(1+$C$7)^(A330/12)</f>
        <v/>
      </c>
      <c r="H330" s="16">
        <f>F330*G330</f>
        <v/>
      </c>
    </row>
    <row r="331">
      <c r="A331" s="14" t="n">
        <v>319</v>
      </c>
      <c r="B331">
        <f>$C$5+INT(A331/12)</f>
        <v/>
      </c>
      <c r="C331">
        <f>Parametros!$B$5+INT(A331/12)</f>
        <v/>
      </c>
      <c r="D331" s="15">
        <f>IFERROR(IF($C$4="H",INDEX(Mortalidad_H!$B$3:$BX$113,MATCH(B331,Mortalidad_H!$A$3:$A$113,0),MATCH(MIN(C331,2100),Mortalidad_H!$B$2:$BX$2,0)),INDEX(Mortalidad_M!$B$3:$BX$93,MATCH(B331,Mortalidad_M!$A$3:$A$93,0),MATCH(MIN(C331,2100),Mortalidad_M!$B$2:$BX$2,0))),1)</f>
        <v/>
      </c>
      <c r="E331" s="15">
        <f>1-(1-D331)^(1/12)</f>
        <v/>
      </c>
      <c r="F331" s="16">
        <f>F330*(1-E330)</f>
        <v/>
      </c>
      <c r="G331" s="16">
        <f>1/(1+$C$7)^(A331/12)</f>
        <v/>
      </c>
      <c r="H331" s="16">
        <f>F331*G331</f>
        <v/>
      </c>
    </row>
    <row r="332">
      <c r="A332" s="14" t="n">
        <v>320</v>
      </c>
      <c r="B332">
        <f>$C$5+INT(A332/12)</f>
        <v/>
      </c>
      <c r="C332">
        <f>Parametros!$B$5+INT(A332/12)</f>
        <v/>
      </c>
      <c r="D332" s="15">
        <f>IFERROR(IF($C$4="H",INDEX(Mortalidad_H!$B$3:$BX$113,MATCH(B332,Mortalidad_H!$A$3:$A$113,0),MATCH(MIN(C332,2100),Mortalidad_H!$B$2:$BX$2,0)),INDEX(Mortalidad_M!$B$3:$BX$93,MATCH(B332,Mortalidad_M!$A$3:$A$93,0),MATCH(MIN(C332,2100),Mortalidad_M!$B$2:$BX$2,0))),1)</f>
        <v/>
      </c>
      <c r="E332" s="15">
        <f>1-(1-D332)^(1/12)</f>
        <v/>
      </c>
      <c r="F332" s="16">
        <f>F331*(1-E331)</f>
        <v/>
      </c>
      <c r="G332" s="16">
        <f>1/(1+$C$7)^(A332/12)</f>
        <v/>
      </c>
      <c r="H332" s="16">
        <f>F332*G332</f>
        <v/>
      </c>
    </row>
    <row r="333">
      <c r="A333" s="14" t="n">
        <v>321</v>
      </c>
      <c r="B333">
        <f>$C$5+INT(A333/12)</f>
        <v/>
      </c>
      <c r="C333">
        <f>Parametros!$B$5+INT(A333/12)</f>
        <v/>
      </c>
      <c r="D333" s="15">
        <f>IFERROR(IF($C$4="H",INDEX(Mortalidad_H!$B$3:$BX$113,MATCH(B333,Mortalidad_H!$A$3:$A$113,0),MATCH(MIN(C333,2100),Mortalidad_H!$B$2:$BX$2,0)),INDEX(Mortalidad_M!$B$3:$BX$93,MATCH(B333,Mortalidad_M!$A$3:$A$93,0),MATCH(MIN(C333,2100),Mortalidad_M!$B$2:$BX$2,0))),1)</f>
        <v/>
      </c>
      <c r="E333" s="15">
        <f>1-(1-D333)^(1/12)</f>
        <v/>
      </c>
      <c r="F333" s="16">
        <f>F332*(1-E332)</f>
        <v/>
      </c>
      <c r="G333" s="16">
        <f>1/(1+$C$7)^(A333/12)</f>
        <v/>
      </c>
      <c r="H333" s="16">
        <f>F333*G333</f>
        <v/>
      </c>
    </row>
    <row r="334">
      <c r="A334" s="14" t="n">
        <v>322</v>
      </c>
      <c r="B334">
        <f>$C$5+INT(A334/12)</f>
        <v/>
      </c>
      <c r="C334">
        <f>Parametros!$B$5+INT(A334/12)</f>
        <v/>
      </c>
      <c r="D334" s="15">
        <f>IFERROR(IF($C$4="H",INDEX(Mortalidad_H!$B$3:$BX$113,MATCH(B334,Mortalidad_H!$A$3:$A$113,0),MATCH(MIN(C334,2100),Mortalidad_H!$B$2:$BX$2,0)),INDEX(Mortalidad_M!$B$3:$BX$93,MATCH(B334,Mortalidad_M!$A$3:$A$93,0),MATCH(MIN(C334,2100),Mortalidad_M!$B$2:$BX$2,0))),1)</f>
        <v/>
      </c>
      <c r="E334" s="15">
        <f>1-(1-D334)^(1/12)</f>
        <v/>
      </c>
      <c r="F334" s="16">
        <f>F333*(1-E333)</f>
        <v/>
      </c>
      <c r="G334" s="16">
        <f>1/(1+$C$7)^(A334/12)</f>
        <v/>
      </c>
      <c r="H334" s="16">
        <f>F334*G334</f>
        <v/>
      </c>
    </row>
    <row r="335">
      <c r="A335" s="14" t="n">
        <v>323</v>
      </c>
      <c r="B335">
        <f>$C$5+INT(A335/12)</f>
        <v/>
      </c>
      <c r="C335">
        <f>Parametros!$B$5+INT(A335/12)</f>
        <v/>
      </c>
      <c r="D335" s="15">
        <f>IFERROR(IF($C$4="H",INDEX(Mortalidad_H!$B$3:$BX$113,MATCH(B335,Mortalidad_H!$A$3:$A$113,0),MATCH(MIN(C335,2100),Mortalidad_H!$B$2:$BX$2,0)),INDEX(Mortalidad_M!$B$3:$BX$93,MATCH(B335,Mortalidad_M!$A$3:$A$93,0),MATCH(MIN(C335,2100),Mortalidad_M!$B$2:$BX$2,0))),1)</f>
        <v/>
      </c>
      <c r="E335" s="15">
        <f>1-(1-D335)^(1/12)</f>
        <v/>
      </c>
      <c r="F335" s="16">
        <f>F334*(1-E334)</f>
        <v/>
      </c>
      <c r="G335" s="16">
        <f>1/(1+$C$7)^(A335/12)</f>
        <v/>
      </c>
      <c r="H335" s="16">
        <f>F335*G335</f>
        <v/>
      </c>
    </row>
    <row r="336">
      <c r="A336" s="14" t="n">
        <v>324</v>
      </c>
      <c r="B336">
        <f>$C$5+INT(A336/12)</f>
        <v/>
      </c>
      <c r="C336">
        <f>Parametros!$B$5+INT(A336/12)</f>
        <v/>
      </c>
      <c r="D336" s="15">
        <f>IFERROR(IF($C$4="H",INDEX(Mortalidad_H!$B$3:$BX$113,MATCH(B336,Mortalidad_H!$A$3:$A$113,0),MATCH(MIN(C336,2100),Mortalidad_H!$B$2:$BX$2,0)),INDEX(Mortalidad_M!$B$3:$BX$93,MATCH(B336,Mortalidad_M!$A$3:$A$93,0),MATCH(MIN(C336,2100),Mortalidad_M!$B$2:$BX$2,0))),1)</f>
        <v/>
      </c>
      <c r="E336" s="15">
        <f>1-(1-D336)^(1/12)</f>
        <v/>
      </c>
      <c r="F336" s="16">
        <f>F335*(1-E335)</f>
        <v/>
      </c>
      <c r="G336" s="16">
        <f>1/(1+$C$7)^(A336/12)</f>
        <v/>
      </c>
      <c r="H336" s="16">
        <f>F336*G336</f>
        <v/>
      </c>
    </row>
    <row r="337">
      <c r="A337" s="14" t="n">
        <v>325</v>
      </c>
      <c r="B337">
        <f>$C$5+INT(A337/12)</f>
        <v/>
      </c>
      <c r="C337">
        <f>Parametros!$B$5+INT(A337/12)</f>
        <v/>
      </c>
      <c r="D337" s="15">
        <f>IFERROR(IF($C$4="H",INDEX(Mortalidad_H!$B$3:$BX$113,MATCH(B337,Mortalidad_H!$A$3:$A$113,0),MATCH(MIN(C337,2100),Mortalidad_H!$B$2:$BX$2,0)),INDEX(Mortalidad_M!$B$3:$BX$93,MATCH(B337,Mortalidad_M!$A$3:$A$93,0),MATCH(MIN(C337,2100),Mortalidad_M!$B$2:$BX$2,0))),1)</f>
        <v/>
      </c>
      <c r="E337" s="15">
        <f>1-(1-D337)^(1/12)</f>
        <v/>
      </c>
      <c r="F337" s="16">
        <f>F336*(1-E336)</f>
        <v/>
      </c>
      <c r="G337" s="16">
        <f>1/(1+$C$7)^(A337/12)</f>
        <v/>
      </c>
      <c r="H337" s="16">
        <f>F337*G337</f>
        <v/>
      </c>
    </row>
    <row r="338">
      <c r="A338" s="14" t="n">
        <v>326</v>
      </c>
      <c r="B338">
        <f>$C$5+INT(A338/12)</f>
        <v/>
      </c>
      <c r="C338">
        <f>Parametros!$B$5+INT(A338/12)</f>
        <v/>
      </c>
      <c r="D338" s="15">
        <f>IFERROR(IF($C$4="H",INDEX(Mortalidad_H!$B$3:$BX$113,MATCH(B338,Mortalidad_H!$A$3:$A$113,0),MATCH(MIN(C338,2100),Mortalidad_H!$B$2:$BX$2,0)),INDEX(Mortalidad_M!$B$3:$BX$93,MATCH(B338,Mortalidad_M!$A$3:$A$93,0),MATCH(MIN(C338,2100),Mortalidad_M!$B$2:$BX$2,0))),1)</f>
        <v/>
      </c>
      <c r="E338" s="15">
        <f>1-(1-D338)^(1/12)</f>
        <v/>
      </c>
      <c r="F338" s="16">
        <f>F337*(1-E337)</f>
        <v/>
      </c>
      <c r="G338" s="16">
        <f>1/(1+$C$7)^(A338/12)</f>
        <v/>
      </c>
      <c r="H338" s="16">
        <f>F338*G338</f>
        <v/>
      </c>
    </row>
    <row r="339">
      <c r="A339" s="14" t="n">
        <v>327</v>
      </c>
      <c r="B339">
        <f>$C$5+INT(A339/12)</f>
        <v/>
      </c>
      <c r="C339">
        <f>Parametros!$B$5+INT(A339/12)</f>
        <v/>
      </c>
      <c r="D339" s="15">
        <f>IFERROR(IF($C$4="H",INDEX(Mortalidad_H!$B$3:$BX$113,MATCH(B339,Mortalidad_H!$A$3:$A$113,0),MATCH(MIN(C339,2100),Mortalidad_H!$B$2:$BX$2,0)),INDEX(Mortalidad_M!$B$3:$BX$93,MATCH(B339,Mortalidad_M!$A$3:$A$93,0),MATCH(MIN(C339,2100),Mortalidad_M!$B$2:$BX$2,0))),1)</f>
        <v/>
      </c>
      <c r="E339" s="15">
        <f>1-(1-D339)^(1/12)</f>
        <v/>
      </c>
      <c r="F339" s="16">
        <f>F338*(1-E338)</f>
        <v/>
      </c>
      <c r="G339" s="16">
        <f>1/(1+$C$7)^(A339/12)</f>
        <v/>
      </c>
      <c r="H339" s="16">
        <f>F339*G339</f>
        <v/>
      </c>
    </row>
    <row r="340">
      <c r="A340" s="14" t="n">
        <v>328</v>
      </c>
      <c r="B340">
        <f>$C$5+INT(A340/12)</f>
        <v/>
      </c>
      <c r="C340">
        <f>Parametros!$B$5+INT(A340/12)</f>
        <v/>
      </c>
      <c r="D340" s="15">
        <f>IFERROR(IF($C$4="H",INDEX(Mortalidad_H!$B$3:$BX$113,MATCH(B340,Mortalidad_H!$A$3:$A$113,0),MATCH(MIN(C340,2100),Mortalidad_H!$B$2:$BX$2,0)),INDEX(Mortalidad_M!$B$3:$BX$93,MATCH(B340,Mortalidad_M!$A$3:$A$93,0),MATCH(MIN(C340,2100),Mortalidad_M!$B$2:$BX$2,0))),1)</f>
        <v/>
      </c>
      <c r="E340" s="15">
        <f>1-(1-D340)^(1/12)</f>
        <v/>
      </c>
      <c r="F340" s="16">
        <f>F339*(1-E339)</f>
        <v/>
      </c>
      <c r="G340" s="16">
        <f>1/(1+$C$7)^(A340/12)</f>
        <v/>
      </c>
      <c r="H340" s="16">
        <f>F340*G340</f>
        <v/>
      </c>
    </row>
    <row r="341">
      <c r="A341" s="14" t="n">
        <v>329</v>
      </c>
      <c r="B341">
        <f>$C$5+INT(A341/12)</f>
        <v/>
      </c>
      <c r="C341">
        <f>Parametros!$B$5+INT(A341/12)</f>
        <v/>
      </c>
      <c r="D341" s="15">
        <f>IFERROR(IF($C$4="H",INDEX(Mortalidad_H!$B$3:$BX$113,MATCH(B341,Mortalidad_H!$A$3:$A$113,0),MATCH(MIN(C341,2100),Mortalidad_H!$B$2:$BX$2,0)),INDEX(Mortalidad_M!$B$3:$BX$93,MATCH(B341,Mortalidad_M!$A$3:$A$93,0),MATCH(MIN(C341,2100),Mortalidad_M!$B$2:$BX$2,0))),1)</f>
        <v/>
      </c>
      <c r="E341" s="15">
        <f>1-(1-D341)^(1/12)</f>
        <v/>
      </c>
      <c r="F341" s="16">
        <f>F340*(1-E340)</f>
        <v/>
      </c>
      <c r="G341" s="16">
        <f>1/(1+$C$7)^(A341/12)</f>
        <v/>
      </c>
      <c r="H341" s="16">
        <f>F341*G341</f>
        <v/>
      </c>
    </row>
    <row r="342">
      <c r="A342" s="14" t="n">
        <v>330</v>
      </c>
      <c r="B342">
        <f>$C$5+INT(A342/12)</f>
        <v/>
      </c>
      <c r="C342">
        <f>Parametros!$B$5+INT(A342/12)</f>
        <v/>
      </c>
      <c r="D342" s="15">
        <f>IFERROR(IF($C$4="H",INDEX(Mortalidad_H!$B$3:$BX$113,MATCH(B342,Mortalidad_H!$A$3:$A$113,0),MATCH(MIN(C342,2100),Mortalidad_H!$B$2:$BX$2,0)),INDEX(Mortalidad_M!$B$3:$BX$93,MATCH(B342,Mortalidad_M!$A$3:$A$93,0),MATCH(MIN(C342,2100),Mortalidad_M!$B$2:$BX$2,0))),1)</f>
        <v/>
      </c>
      <c r="E342" s="15">
        <f>1-(1-D342)^(1/12)</f>
        <v/>
      </c>
      <c r="F342" s="16">
        <f>F341*(1-E341)</f>
        <v/>
      </c>
      <c r="G342" s="16">
        <f>1/(1+$C$7)^(A342/12)</f>
        <v/>
      </c>
      <c r="H342" s="16">
        <f>F342*G342</f>
        <v/>
      </c>
    </row>
    <row r="343">
      <c r="A343" s="14" t="n">
        <v>331</v>
      </c>
      <c r="B343">
        <f>$C$5+INT(A343/12)</f>
        <v/>
      </c>
      <c r="C343">
        <f>Parametros!$B$5+INT(A343/12)</f>
        <v/>
      </c>
      <c r="D343" s="15">
        <f>IFERROR(IF($C$4="H",INDEX(Mortalidad_H!$B$3:$BX$113,MATCH(B343,Mortalidad_H!$A$3:$A$113,0),MATCH(MIN(C343,2100),Mortalidad_H!$B$2:$BX$2,0)),INDEX(Mortalidad_M!$B$3:$BX$93,MATCH(B343,Mortalidad_M!$A$3:$A$93,0),MATCH(MIN(C343,2100),Mortalidad_M!$B$2:$BX$2,0))),1)</f>
        <v/>
      </c>
      <c r="E343" s="15">
        <f>1-(1-D343)^(1/12)</f>
        <v/>
      </c>
      <c r="F343" s="16">
        <f>F342*(1-E342)</f>
        <v/>
      </c>
      <c r="G343" s="16">
        <f>1/(1+$C$7)^(A343/12)</f>
        <v/>
      </c>
      <c r="H343" s="16">
        <f>F343*G343</f>
        <v/>
      </c>
    </row>
    <row r="344">
      <c r="A344" s="14" t="n">
        <v>332</v>
      </c>
      <c r="B344">
        <f>$C$5+INT(A344/12)</f>
        <v/>
      </c>
      <c r="C344">
        <f>Parametros!$B$5+INT(A344/12)</f>
        <v/>
      </c>
      <c r="D344" s="15">
        <f>IFERROR(IF($C$4="H",INDEX(Mortalidad_H!$B$3:$BX$113,MATCH(B344,Mortalidad_H!$A$3:$A$113,0),MATCH(MIN(C344,2100),Mortalidad_H!$B$2:$BX$2,0)),INDEX(Mortalidad_M!$B$3:$BX$93,MATCH(B344,Mortalidad_M!$A$3:$A$93,0),MATCH(MIN(C344,2100),Mortalidad_M!$B$2:$BX$2,0))),1)</f>
        <v/>
      </c>
      <c r="E344" s="15">
        <f>1-(1-D344)^(1/12)</f>
        <v/>
      </c>
      <c r="F344" s="16">
        <f>F343*(1-E343)</f>
        <v/>
      </c>
      <c r="G344" s="16">
        <f>1/(1+$C$7)^(A344/12)</f>
        <v/>
      </c>
      <c r="H344" s="16">
        <f>F344*G344</f>
        <v/>
      </c>
    </row>
    <row r="345">
      <c r="A345" s="14" t="n">
        <v>333</v>
      </c>
      <c r="B345">
        <f>$C$5+INT(A345/12)</f>
        <v/>
      </c>
      <c r="C345">
        <f>Parametros!$B$5+INT(A345/12)</f>
        <v/>
      </c>
      <c r="D345" s="15">
        <f>IFERROR(IF($C$4="H",INDEX(Mortalidad_H!$B$3:$BX$113,MATCH(B345,Mortalidad_H!$A$3:$A$113,0),MATCH(MIN(C345,2100),Mortalidad_H!$B$2:$BX$2,0)),INDEX(Mortalidad_M!$B$3:$BX$93,MATCH(B345,Mortalidad_M!$A$3:$A$93,0),MATCH(MIN(C345,2100),Mortalidad_M!$B$2:$BX$2,0))),1)</f>
        <v/>
      </c>
      <c r="E345" s="15">
        <f>1-(1-D345)^(1/12)</f>
        <v/>
      </c>
      <c r="F345" s="16">
        <f>F344*(1-E344)</f>
        <v/>
      </c>
      <c r="G345" s="16">
        <f>1/(1+$C$7)^(A345/12)</f>
        <v/>
      </c>
      <c r="H345" s="16">
        <f>F345*G345</f>
        <v/>
      </c>
    </row>
    <row r="346">
      <c r="A346" s="14" t="n">
        <v>334</v>
      </c>
      <c r="B346">
        <f>$C$5+INT(A346/12)</f>
        <v/>
      </c>
      <c r="C346">
        <f>Parametros!$B$5+INT(A346/12)</f>
        <v/>
      </c>
      <c r="D346" s="15">
        <f>IFERROR(IF($C$4="H",INDEX(Mortalidad_H!$B$3:$BX$113,MATCH(B346,Mortalidad_H!$A$3:$A$113,0),MATCH(MIN(C346,2100),Mortalidad_H!$B$2:$BX$2,0)),INDEX(Mortalidad_M!$B$3:$BX$93,MATCH(B346,Mortalidad_M!$A$3:$A$93,0),MATCH(MIN(C346,2100),Mortalidad_M!$B$2:$BX$2,0))),1)</f>
        <v/>
      </c>
      <c r="E346" s="15">
        <f>1-(1-D346)^(1/12)</f>
        <v/>
      </c>
      <c r="F346" s="16">
        <f>F345*(1-E345)</f>
        <v/>
      </c>
      <c r="G346" s="16">
        <f>1/(1+$C$7)^(A346/12)</f>
        <v/>
      </c>
      <c r="H346" s="16">
        <f>F346*G346</f>
        <v/>
      </c>
    </row>
    <row r="347">
      <c r="A347" s="14" t="n">
        <v>335</v>
      </c>
      <c r="B347">
        <f>$C$5+INT(A347/12)</f>
        <v/>
      </c>
      <c r="C347">
        <f>Parametros!$B$5+INT(A347/12)</f>
        <v/>
      </c>
      <c r="D347" s="15">
        <f>IFERROR(IF($C$4="H",INDEX(Mortalidad_H!$B$3:$BX$113,MATCH(B347,Mortalidad_H!$A$3:$A$113,0),MATCH(MIN(C347,2100),Mortalidad_H!$B$2:$BX$2,0)),INDEX(Mortalidad_M!$B$3:$BX$93,MATCH(B347,Mortalidad_M!$A$3:$A$93,0),MATCH(MIN(C347,2100),Mortalidad_M!$B$2:$BX$2,0))),1)</f>
        <v/>
      </c>
      <c r="E347" s="15">
        <f>1-(1-D347)^(1/12)</f>
        <v/>
      </c>
      <c r="F347" s="16">
        <f>F346*(1-E346)</f>
        <v/>
      </c>
      <c r="G347" s="16">
        <f>1/(1+$C$7)^(A347/12)</f>
        <v/>
      </c>
      <c r="H347" s="16">
        <f>F347*G347</f>
        <v/>
      </c>
    </row>
    <row r="348">
      <c r="A348" s="14" t="n">
        <v>336</v>
      </c>
      <c r="B348">
        <f>$C$5+INT(A348/12)</f>
        <v/>
      </c>
      <c r="C348">
        <f>Parametros!$B$5+INT(A348/12)</f>
        <v/>
      </c>
      <c r="D348" s="15">
        <f>IFERROR(IF($C$4="H",INDEX(Mortalidad_H!$B$3:$BX$113,MATCH(B348,Mortalidad_H!$A$3:$A$113,0),MATCH(MIN(C348,2100),Mortalidad_H!$B$2:$BX$2,0)),INDEX(Mortalidad_M!$B$3:$BX$93,MATCH(B348,Mortalidad_M!$A$3:$A$93,0),MATCH(MIN(C348,2100),Mortalidad_M!$B$2:$BX$2,0))),1)</f>
        <v/>
      </c>
      <c r="E348" s="15">
        <f>1-(1-D348)^(1/12)</f>
        <v/>
      </c>
      <c r="F348" s="16">
        <f>F347*(1-E347)</f>
        <v/>
      </c>
      <c r="G348" s="16">
        <f>1/(1+$C$7)^(A348/12)</f>
        <v/>
      </c>
      <c r="H348" s="16">
        <f>F348*G348</f>
        <v/>
      </c>
    </row>
    <row r="349">
      <c r="A349" s="14" t="n">
        <v>337</v>
      </c>
      <c r="B349">
        <f>$C$5+INT(A349/12)</f>
        <v/>
      </c>
      <c r="C349">
        <f>Parametros!$B$5+INT(A349/12)</f>
        <v/>
      </c>
      <c r="D349" s="15">
        <f>IFERROR(IF($C$4="H",INDEX(Mortalidad_H!$B$3:$BX$113,MATCH(B349,Mortalidad_H!$A$3:$A$113,0),MATCH(MIN(C349,2100),Mortalidad_H!$B$2:$BX$2,0)),INDEX(Mortalidad_M!$B$3:$BX$93,MATCH(B349,Mortalidad_M!$A$3:$A$93,0),MATCH(MIN(C349,2100),Mortalidad_M!$B$2:$BX$2,0))),1)</f>
        <v/>
      </c>
      <c r="E349" s="15">
        <f>1-(1-D349)^(1/12)</f>
        <v/>
      </c>
      <c r="F349" s="16">
        <f>F348*(1-E348)</f>
        <v/>
      </c>
      <c r="G349" s="16">
        <f>1/(1+$C$7)^(A349/12)</f>
        <v/>
      </c>
      <c r="H349" s="16">
        <f>F349*G349</f>
        <v/>
      </c>
    </row>
    <row r="350">
      <c r="A350" s="14" t="n">
        <v>338</v>
      </c>
      <c r="B350">
        <f>$C$5+INT(A350/12)</f>
        <v/>
      </c>
      <c r="C350">
        <f>Parametros!$B$5+INT(A350/12)</f>
        <v/>
      </c>
      <c r="D350" s="15">
        <f>IFERROR(IF($C$4="H",INDEX(Mortalidad_H!$B$3:$BX$113,MATCH(B350,Mortalidad_H!$A$3:$A$113,0),MATCH(MIN(C350,2100),Mortalidad_H!$B$2:$BX$2,0)),INDEX(Mortalidad_M!$B$3:$BX$93,MATCH(B350,Mortalidad_M!$A$3:$A$93,0),MATCH(MIN(C350,2100),Mortalidad_M!$B$2:$BX$2,0))),1)</f>
        <v/>
      </c>
      <c r="E350" s="15">
        <f>1-(1-D350)^(1/12)</f>
        <v/>
      </c>
      <c r="F350" s="16">
        <f>F349*(1-E349)</f>
        <v/>
      </c>
      <c r="G350" s="16">
        <f>1/(1+$C$7)^(A350/12)</f>
        <v/>
      </c>
      <c r="H350" s="16">
        <f>F350*G350</f>
        <v/>
      </c>
    </row>
    <row r="351">
      <c r="A351" s="14" t="n">
        <v>339</v>
      </c>
      <c r="B351">
        <f>$C$5+INT(A351/12)</f>
        <v/>
      </c>
      <c r="C351">
        <f>Parametros!$B$5+INT(A351/12)</f>
        <v/>
      </c>
      <c r="D351" s="15">
        <f>IFERROR(IF($C$4="H",INDEX(Mortalidad_H!$B$3:$BX$113,MATCH(B351,Mortalidad_H!$A$3:$A$113,0),MATCH(MIN(C351,2100),Mortalidad_H!$B$2:$BX$2,0)),INDEX(Mortalidad_M!$B$3:$BX$93,MATCH(B351,Mortalidad_M!$A$3:$A$93,0),MATCH(MIN(C351,2100),Mortalidad_M!$B$2:$BX$2,0))),1)</f>
        <v/>
      </c>
      <c r="E351" s="15">
        <f>1-(1-D351)^(1/12)</f>
        <v/>
      </c>
      <c r="F351" s="16">
        <f>F350*(1-E350)</f>
        <v/>
      </c>
      <c r="G351" s="16">
        <f>1/(1+$C$7)^(A351/12)</f>
        <v/>
      </c>
      <c r="H351" s="16">
        <f>F351*G351</f>
        <v/>
      </c>
    </row>
    <row r="352">
      <c r="A352" s="14" t="n">
        <v>340</v>
      </c>
      <c r="B352">
        <f>$C$5+INT(A352/12)</f>
        <v/>
      </c>
      <c r="C352">
        <f>Parametros!$B$5+INT(A352/12)</f>
        <v/>
      </c>
      <c r="D352" s="15">
        <f>IFERROR(IF($C$4="H",INDEX(Mortalidad_H!$B$3:$BX$113,MATCH(B352,Mortalidad_H!$A$3:$A$113,0),MATCH(MIN(C352,2100),Mortalidad_H!$B$2:$BX$2,0)),INDEX(Mortalidad_M!$B$3:$BX$93,MATCH(B352,Mortalidad_M!$A$3:$A$93,0),MATCH(MIN(C352,2100),Mortalidad_M!$B$2:$BX$2,0))),1)</f>
        <v/>
      </c>
      <c r="E352" s="15">
        <f>1-(1-D352)^(1/12)</f>
        <v/>
      </c>
      <c r="F352" s="16">
        <f>F351*(1-E351)</f>
        <v/>
      </c>
      <c r="G352" s="16">
        <f>1/(1+$C$7)^(A352/12)</f>
        <v/>
      </c>
      <c r="H352" s="16">
        <f>F352*G352</f>
        <v/>
      </c>
    </row>
    <row r="353">
      <c r="A353" s="14" t="n">
        <v>341</v>
      </c>
      <c r="B353">
        <f>$C$5+INT(A353/12)</f>
        <v/>
      </c>
      <c r="C353">
        <f>Parametros!$B$5+INT(A353/12)</f>
        <v/>
      </c>
      <c r="D353" s="15">
        <f>IFERROR(IF($C$4="H",INDEX(Mortalidad_H!$B$3:$BX$113,MATCH(B353,Mortalidad_H!$A$3:$A$113,0),MATCH(MIN(C353,2100),Mortalidad_H!$B$2:$BX$2,0)),INDEX(Mortalidad_M!$B$3:$BX$93,MATCH(B353,Mortalidad_M!$A$3:$A$93,0),MATCH(MIN(C353,2100),Mortalidad_M!$B$2:$BX$2,0))),1)</f>
        <v/>
      </c>
      <c r="E353" s="15">
        <f>1-(1-D353)^(1/12)</f>
        <v/>
      </c>
      <c r="F353" s="16">
        <f>F352*(1-E352)</f>
        <v/>
      </c>
      <c r="G353" s="16">
        <f>1/(1+$C$7)^(A353/12)</f>
        <v/>
      </c>
      <c r="H353" s="16">
        <f>F353*G353</f>
        <v/>
      </c>
    </row>
    <row r="354">
      <c r="A354" s="14" t="n">
        <v>342</v>
      </c>
      <c r="B354">
        <f>$C$5+INT(A354/12)</f>
        <v/>
      </c>
      <c r="C354">
        <f>Parametros!$B$5+INT(A354/12)</f>
        <v/>
      </c>
      <c r="D354" s="15">
        <f>IFERROR(IF($C$4="H",INDEX(Mortalidad_H!$B$3:$BX$113,MATCH(B354,Mortalidad_H!$A$3:$A$113,0),MATCH(MIN(C354,2100),Mortalidad_H!$B$2:$BX$2,0)),INDEX(Mortalidad_M!$B$3:$BX$93,MATCH(B354,Mortalidad_M!$A$3:$A$93,0),MATCH(MIN(C354,2100),Mortalidad_M!$B$2:$BX$2,0))),1)</f>
        <v/>
      </c>
      <c r="E354" s="15">
        <f>1-(1-D354)^(1/12)</f>
        <v/>
      </c>
      <c r="F354" s="16">
        <f>F353*(1-E353)</f>
        <v/>
      </c>
      <c r="G354" s="16">
        <f>1/(1+$C$7)^(A354/12)</f>
        <v/>
      </c>
      <c r="H354" s="16">
        <f>F354*G354</f>
        <v/>
      </c>
    </row>
    <row r="355">
      <c r="A355" s="14" t="n">
        <v>343</v>
      </c>
      <c r="B355">
        <f>$C$5+INT(A355/12)</f>
        <v/>
      </c>
      <c r="C355">
        <f>Parametros!$B$5+INT(A355/12)</f>
        <v/>
      </c>
      <c r="D355" s="15">
        <f>IFERROR(IF($C$4="H",INDEX(Mortalidad_H!$B$3:$BX$113,MATCH(B355,Mortalidad_H!$A$3:$A$113,0),MATCH(MIN(C355,2100),Mortalidad_H!$B$2:$BX$2,0)),INDEX(Mortalidad_M!$B$3:$BX$93,MATCH(B355,Mortalidad_M!$A$3:$A$93,0),MATCH(MIN(C355,2100),Mortalidad_M!$B$2:$BX$2,0))),1)</f>
        <v/>
      </c>
      <c r="E355" s="15">
        <f>1-(1-D355)^(1/12)</f>
        <v/>
      </c>
      <c r="F355" s="16">
        <f>F354*(1-E354)</f>
        <v/>
      </c>
      <c r="G355" s="16">
        <f>1/(1+$C$7)^(A355/12)</f>
        <v/>
      </c>
      <c r="H355" s="16">
        <f>F355*G355</f>
        <v/>
      </c>
    </row>
    <row r="356">
      <c r="A356" s="14" t="n">
        <v>344</v>
      </c>
      <c r="B356">
        <f>$C$5+INT(A356/12)</f>
        <v/>
      </c>
      <c r="C356">
        <f>Parametros!$B$5+INT(A356/12)</f>
        <v/>
      </c>
      <c r="D356" s="15">
        <f>IFERROR(IF($C$4="H",INDEX(Mortalidad_H!$B$3:$BX$113,MATCH(B356,Mortalidad_H!$A$3:$A$113,0),MATCH(MIN(C356,2100),Mortalidad_H!$B$2:$BX$2,0)),INDEX(Mortalidad_M!$B$3:$BX$93,MATCH(B356,Mortalidad_M!$A$3:$A$93,0),MATCH(MIN(C356,2100),Mortalidad_M!$B$2:$BX$2,0))),1)</f>
        <v/>
      </c>
      <c r="E356" s="15">
        <f>1-(1-D356)^(1/12)</f>
        <v/>
      </c>
      <c r="F356" s="16">
        <f>F355*(1-E355)</f>
        <v/>
      </c>
      <c r="G356" s="16">
        <f>1/(1+$C$7)^(A356/12)</f>
        <v/>
      </c>
      <c r="H356" s="16">
        <f>F356*G356</f>
        <v/>
      </c>
    </row>
    <row r="357">
      <c r="A357" s="14" t="n">
        <v>345</v>
      </c>
      <c r="B357">
        <f>$C$5+INT(A357/12)</f>
        <v/>
      </c>
      <c r="C357">
        <f>Parametros!$B$5+INT(A357/12)</f>
        <v/>
      </c>
      <c r="D357" s="15">
        <f>IFERROR(IF($C$4="H",INDEX(Mortalidad_H!$B$3:$BX$113,MATCH(B357,Mortalidad_H!$A$3:$A$113,0),MATCH(MIN(C357,2100),Mortalidad_H!$B$2:$BX$2,0)),INDEX(Mortalidad_M!$B$3:$BX$93,MATCH(B357,Mortalidad_M!$A$3:$A$93,0),MATCH(MIN(C357,2100),Mortalidad_M!$B$2:$BX$2,0))),1)</f>
        <v/>
      </c>
      <c r="E357" s="15">
        <f>1-(1-D357)^(1/12)</f>
        <v/>
      </c>
      <c r="F357" s="16">
        <f>F356*(1-E356)</f>
        <v/>
      </c>
      <c r="G357" s="16">
        <f>1/(1+$C$7)^(A357/12)</f>
        <v/>
      </c>
      <c r="H357" s="16">
        <f>F357*G357</f>
        <v/>
      </c>
    </row>
    <row r="358">
      <c r="A358" s="14" t="n">
        <v>346</v>
      </c>
      <c r="B358">
        <f>$C$5+INT(A358/12)</f>
        <v/>
      </c>
      <c r="C358">
        <f>Parametros!$B$5+INT(A358/12)</f>
        <v/>
      </c>
      <c r="D358" s="15">
        <f>IFERROR(IF($C$4="H",INDEX(Mortalidad_H!$B$3:$BX$113,MATCH(B358,Mortalidad_H!$A$3:$A$113,0),MATCH(MIN(C358,2100),Mortalidad_H!$B$2:$BX$2,0)),INDEX(Mortalidad_M!$B$3:$BX$93,MATCH(B358,Mortalidad_M!$A$3:$A$93,0),MATCH(MIN(C358,2100),Mortalidad_M!$B$2:$BX$2,0))),1)</f>
        <v/>
      </c>
      <c r="E358" s="15">
        <f>1-(1-D358)^(1/12)</f>
        <v/>
      </c>
      <c r="F358" s="16">
        <f>F357*(1-E357)</f>
        <v/>
      </c>
      <c r="G358" s="16">
        <f>1/(1+$C$7)^(A358/12)</f>
        <v/>
      </c>
      <c r="H358" s="16">
        <f>F358*G358</f>
        <v/>
      </c>
    </row>
    <row r="359">
      <c r="A359" s="14" t="n">
        <v>347</v>
      </c>
      <c r="B359">
        <f>$C$5+INT(A359/12)</f>
        <v/>
      </c>
      <c r="C359">
        <f>Parametros!$B$5+INT(A359/12)</f>
        <v/>
      </c>
      <c r="D359" s="15">
        <f>IFERROR(IF($C$4="H",INDEX(Mortalidad_H!$B$3:$BX$113,MATCH(B359,Mortalidad_H!$A$3:$A$113,0),MATCH(MIN(C359,2100),Mortalidad_H!$B$2:$BX$2,0)),INDEX(Mortalidad_M!$B$3:$BX$93,MATCH(B359,Mortalidad_M!$A$3:$A$93,0),MATCH(MIN(C359,2100),Mortalidad_M!$B$2:$BX$2,0))),1)</f>
        <v/>
      </c>
      <c r="E359" s="15">
        <f>1-(1-D359)^(1/12)</f>
        <v/>
      </c>
      <c r="F359" s="16">
        <f>F358*(1-E358)</f>
        <v/>
      </c>
      <c r="G359" s="16">
        <f>1/(1+$C$7)^(A359/12)</f>
        <v/>
      </c>
      <c r="H359" s="16">
        <f>F359*G359</f>
        <v/>
      </c>
    </row>
    <row r="360">
      <c r="A360" s="14" t="n">
        <v>348</v>
      </c>
      <c r="B360">
        <f>$C$5+INT(A360/12)</f>
        <v/>
      </c>
      <c r="C360">
        <f>Parametros!$B$5+INT(A360/12)</f>
        <v/>
      </c>
      <c r="D360" s="15">
        <f>IFERROR(IF($C$4="H",INDEX(Mortalidad_H!$B$3:$BX$113,MATCH(B360,Mortalidad_H!$A$3:$A$113,0),MATCH(MIN(C360,2100),Mortalidad_H!$B$2:$BX$2,0)),INDEX(Mortalidad_M!$B$3:$BX$93,MATCH(B360,Mortalidad_M!$A$3:$A$93,0),MATCH(MIN(C360,2100),Mortalidad_M!$B$2:$BX$2,0))),1)</f>
        <v/>
      </c>
      <c r="E360" s="15">
        <f>1-(1-D360)^(1/12)</f>
        <v/>
      </c>
      <c r="F360" s="16">
        <f>F359*(1-E359)</f>
        <v/>
      </c>
      <c r="G360" s="16">
        <f>1/(1+$C$7)^(A360/12)</f>
        <v/>
      </c>
      <c r="H360" s="16">
        <f>F360*G360</f>
        <v/>
      </c>
    </row>
    <row r="361">
      <c r="A361" s="14" t="n">
        <v>349</v>
      </c>
      <c r="B361">
        <f>$C$5+INT(A361/12)</f>
        <v/>
      </c>
      <c r="C361">
        <f>Parametros!$B$5+INT(A361/12)</f>
        <v/>
      </c>
      <c r="D361" s="15">
        <f>IFERROR(IF($C$4="H",INDEX(Mortalidad_H!$B$3:$BX$113,MATCH(B361,Mortalidad_H!$A$3:$A$113,0),MATCH(MIN(C361,2100),Mortalidad_H!$B$2:$BX$2,0)),INDEX(Mortalidad_M!$B$3:$BX$93,MATCH(B361,Mortalidad_M!$A$3:$A$93,0),MATCH(MIN(C361,2100),Mortalidad_M!$B$2:$BX$2,0))),1)</f>
        <v/>
      </c>
      <c r="E361" s="15">
        <f>1-(1-D361)^(1/12)</f>
        <v/>
      </c>
      <c r="F361" s="16">
        <f>F360*(1-E360)</f>
        <v/>
      </c>
      <c r="G361" s="16">
        <f>1/(1+$C$7)^(A361/12)</f>
        <v/>
      </c>
      <c r="H361" s="16">
        <f>F361*G361</f>
        <v/>
      </c>
    </row>
    <row r="362">
      <c r="A362" s="14" t="n">
        <v>350</v>
      </c>
      <c r="B362">
        <f>$C$5+INT(A362/12)</f>
        <v/>
      </c>
      <c r="C362">
        <f>Parametros!$B$5+INT(A362/12)</f>
        <v/>
      </c>
      <c r="D362" s="15">
        <f>IFERROR(IF($C$4="H",INDEX(Mortalidad_H!$B$3:$BX$113,MATCH(B362,Mortalidad_H!$A$3:$A$113,0),MATCH(MIN(C362,2100),Mortalidad_H!$B$2:$BX$2,0)),INDEX(Mortalidad_M!$B$3:$BX$93,MATCH(B362,Mortalidad_M!$A$3:$A$93,0),MATCH(MIN(C362,2100),Mortalidad_M!$B$2:$BX$2,0))),1)</f>
        <v/>
      </c>
      <c r="E362" s="15">
        <f>1-(1-D362)^(1/12)</f>
        <v/>
      </c>
      <c r="F362" s="16">
        <f>F361*(1-E361)</f>
        <v/>
      </c>
      <c r="G362" s="16">
        <f>1/(1+$C$7)^(A362/12)</f>
        <v/>
      </c>
      <c r="H362" s="16">
        <f>F362*G362</f>
        <v/>
      </c>
    </row>
    <row r="363">
      <c r="A363" s="14" t="n">
        <v>351</v>
      </c>
      <c r="B363">
        <f>$C$5+INT(A363/12)</f>
        <v/>
      </c>
      <c r="C363">
        <f>Parametros!$B$5+INT(A363/12)</f>
        <v/>
      </c>
      <c r="D363" s="15">
        <f>IFERROR(IF($C$4="H",INDEX(Mortalidad_H!$B$3:$BX$113,MATCH(B363,Mortalidad_H!$A$3:$A$113,0),MATCH(MIN(C363,2100),Mortalidad_H!$B$2:$BX$2,0)),INDEX(Mortalidad_M!$B$3:$BX$93,MATCH(B363,Mortalidad_M!$A$3:$A$93,0),MATCH(MIN(C363,2100),Mortalidad_M!$B$2:$BX$2,0))),1)</f>
        <v/>
      </c>
      <c r="E363" s="15">
        <f>1-(1-D363)^(1/12)</f>
        <v/>
      </c>
      <c r="F363" s="16">
        <f>F362*(1-E362)</f>
        <v/>
      </c>
      <c r="G363" s="16">
        <f>1/(1+$C$7)^(A363/12)</f>
        <v/>
      </c>
      <c r="H363" s="16">
        <f>F363*G363</f>
        <v/>
      </c>
    </row>
    <row r="364">
      <c r="A364" s="14" t="n">
        <v>352</v>
      </c>
      <c r="B364">
        <f>$C$5+INT(A364/12)</f>
        <v/>
      </c>
      <c r="C364">
        <f>Parametros!$B$5+INT(A364/12)</f>
        <v/>
      </c>
      <c r="D364" s="15">
        <f>IFERROR(IF($C$4="H",INDEX(Mortalidad_H!$B$3:$BX$113,MATCH(B364,Mortalidad_H!$A$3:$A$113,0),MATCH(MIN(C364,2100),Mortalidad_H!$B$2:$BX$2,0)),INDEX(Mortalidad_M!$B$3:$BX$93,MATCH(B364,Mortalidad_M!$A$3:$A$93,0),MATCH(MIN(C364,2100),Mortalidad_M!$B$2:$BX$2,0))),1)</f>
        <v/>
      </c>
      <c r="E364" s="15">
        <f>1-(1-D364)^(1/12)</f>
        <v/>
      </c>
      <c r="F364" s="16">
        <f>F363*(1-E363)</f>
        <v/>
      </c>
      <c r="G364" s="16">
        <f>1/(1+$C$7)^(A364/12)</f>
        <v/>
      </c>
      <c r="H364" s="16">
        <f>F364*G364</f>
        <v/>
      </c>
    </row>
    <row r="365">
      <c r="A365" s="14" t="n">
        <v>353</v>
      </c>
      <c r="B365">
        <f>$C$5+INT(A365/12)</f>
        <v/>
      </c>
      <c r="C365">
        <f>Parametros!$B$5+INT(A365/12)</f>
        <v/>
      </c>
      <c r="D365" s="15">
        <f>IFERROR(IF($C$4="H",INDEX(Mortalidad_H!$B$3:$BX$113,MATCH(B365,Mortalidad_H!$A$3:$A$113,0),MATCH(MIN(C365,2100),Mortalidad_H!$B$2:$BX$2,0)),INDEX(Mortalidad_M!$B$3:$BX$93,MATCH(B365,Mortalidad_M!$A$3:$A$93,0),MATCH(MIN(C365,2100),Mortalidad_M!$B$2:$BX$2,0))),1)</f>
        <v/>
      </c>
      <c r="E365" s="15">
        <f>1-(1-D365)^(1/12)</f>
        <v/>
      </c>
      <c r="F365" s="16">
        <f>F364*(1-E364)</f>
        <v/>
      </c>
      <c r="G365" s="16">
        <f>1/(1+$C$7)^(A365/12)</f>
        <v/>
      </c>
      <c r="H365" s="16">
        <f>F365*G365</f>
        <v/>
      </c>
    </row>
    <row r="366">
      <c r="A366" s="14" t="n">
        <v>354</v>
      </c>
      <c r="B366">
        <f>$C$5+INT(A366/12)</f>
        <v/>
      </c>
      <c r="C366">
        <f>Parametros!$B$5+INT(A366/12)</f>
        <v/>
      </c>
      <c r="D366" s="15">
        <f>IFERROR(IF($C$4="H",INDEX(Mortalidad_H!$B$3:$BX$113,MATCH(B366,Mortalidad_H!$A$3:$A$113,0),MATCH(MIN(C366,2100),Mortalidad_H!$B$2:$BX$2,0)),INDEX(Mortalidad_M!$B$3:$BX$93,MATCH(B366,Mortalidad_M!$A$3:$A$93,0),MATCH(MIN(C366,2100),Mortalidad_M!$B$2:$BX$2,0))),1)</f>
        <v/>
      </c>
      <c r="E366" s="15">
        <f>1-(1-D366)^(1/12)</f>
        <v/>
      </c>
      <c r="F366" s="16">
        <f>F365*(1-E365)</f>
        <v/>
      </c>
      <c r="G366" s="16">
        <f>1/(1+$C$7)^(A366/12)</f>
        <v/>
      </c>
      <c r="H366" s="16">
        <f>F366*G366</f>
        <v/>
      </c>
    </row>
    <row r="367">
      <c r="A367" s="14" t="n">
        <v>355</v>
      </c>
      <c r="B367">
        <f>$C$5+INT(A367/12)</f>
        <v/>
      </c>
      <c r="C367">
        <f>Parametros!$B$5+INT(A367/12)</f>
        <v/>
      </c>
      <c r="D367" s="15">
        <f>IFERROR(IF($C$4="H",INDEX(Mortalidad_H!$B$3:$BX$113,MATCH(B367,Mortalidad_H!$A$3:$A$113,0),MATCH(MIN(C367,2100),Mortalidad_H!$B$2:$BX$2,0)),INDEX(Mortalidad_M!$B$3:$BX$93,MATCH(B367,Mortalidad_M!$A$3:$A$93,0),MATCH(MIN(C367,2100),Mortalidad_M!$B$2:$BX$2,0))),1)</f>
        <v/>
      </c>
      <c r="E367" s="15">
        <f>1-(1-D367)^(1/12)</f>
        <v/>
      </c>
      <c r="F367" s="16">
        <f>F366*(1-E366)</f>
        <v/>
      </c>
      <c r="G367" s="16">
        <f>1/(1+$C$7)^(A367/12)</f>
        <v/>
      </c>
      <c r="H367" s="16">
        <f>F367*G367</f>
        <v/>
      </c>
    </row>
    <row r="368">
      <c r="A368" s="14" t="n">
        <v>356</v>
      </c>
      <c r="B368">
        <f>$C$5+INT(A368/12)</f>
        <v/>
      </c>
      <c r="C368">
        <f>Parametros!$B$5+INT(A368/12)</f>
        <v/>
      </c>
      <c r="D368" s="15">
        <f>IFERROR(IF($C$4="H",INDEX(Mortalidad_H!$B$3:$BX$113,MATCH(B368,Mortalidad_H!$A$3:$A$113,0),MATCH(MIN(C368,2100),Mortalidad_H!$B$2:$BX$2,0)),INDEX(Mortalidad_M!$B$3:$BX$93,MATCH(B368,Mortalidad_M!$A$3:$A$93,0),MATCH(MIN(C368,2100),Mortalidad_M!$B$2:$BX$2,0))),1)</f>
        <v/>
      </c>
      <c r="E368" s="15">
        <f>1-(1-D368)^(1/12)</f>
        <v/>
      </c>
      <c r="F368" s="16">
        <f>F367*(1-E367)</f>
        <v/>
      </c>
      <c r="G368" s="16">
        <f>1/(1+$C$7)^(A368/12)</f>
        <v/>
      </c>
      <c r="H368" s="16">
        <f>F368*G368</f>
        <v/>
      </c>
    </row>
    <row r="369">
      <c r="A369" s="14" t="n">
        <v>357</v>
      </c>
      <c r="B369">
        <f>$C$5+INT(A369/12)</f>
        <v/>
      </c>
      <c r="C369">
        <f>Parametros!$B$5+INT(A369/12)</f>
        <v/>
      </c>
      <c r="D369" s="15">
        <f>IFERROR(IF($C$4="H",INDEX(Mortalidad_H!$B$3:$BX$113,MATCH(B369,Mortalidad_H!$A$3:$A$113,0),MATCH(MIN(C369,2100),Mortalidad_H!$B$2:$BX$2,0)),INDEX(Mortalidad_M!$B$3:$BX$93,MATCH(B369,Mortalidad_M!$A$3:$A$93,0),MATCH(MIN(C369,2100),Mortalidad_M!$B$2:$BX$2,0))),1)</f>
        <v/>
      </c>
      <c r="E369" s="15">
        <f>1-(1-D369)^(1/12)</f>
        <v/>
      </c>
      <c r="F369" s="16">
        <f>F368*(1-E368)</f>
        <v/>
      </c>
      <c r="G369" s="16">
        <f>1/(1+$C$7)^(A369/12)</f>
        <v/>
      </c>
      <c r="H369" s="16">
        <f>F369*G369</f>
        <v/>
      </c>
    </row>
    <row r="370">
      <c r="A370" s="14" t="n">
        <v>358</v>
      </c>
      <c r="B370">
        <f>$C$5+INT(A370/12)</f>
        <v/>
      </c>
      <c r="C370">
        <f>Parametros!$B$5+INT(A370/12)</f>
        <v/>
      </c>
      <c r="D370" s="15">
        <f>IFERROR(IF($C$4="H",INDEX(Mortalidad_H!$B$3:$BX$113,MATCH(B370,Mortalidad_H!$A$3:$A$113,0),MATCH(MIN(C370,2100),Mortalidad_H!$B$2:$BX$2,0)),INDEX(Mortalidad_M!$B$3:$BX$93,MATCH(B370,Mortalidad_M!$A$3:$A$93,0),MATCH(MIN(C370,2100),Mortalidad_M!$B$2:$BX$2,0))),1)</f>
        <v/>
      </c>
      <c r="E370" s="15">
        <f>1-(1-D370)^(1/12)</f>
        <v/>
      </c>
      <c r="F370" s="16">
        <f>F369*(1-E369)</f>
        <v/>
      </c>
      <c r="G370" s="16">
        <f>1/(1+$C$7)^(A370/12)</f>
        <v/>
      </c>
      <c r="H370" s="16">
        <f>F370*G370</f>
        <v/>
      </c>
    </row>
    <row r="371">
      <c r="A371" s="14" t="n">
        <v>359</v>
      </c>
      <c r="B371">
        <f>$C$5+INT(A371/12)</f>
        <v/>
      </c>
      <c r="C371">
        <f>Parametros!$B$5+INT(A371/12)</f>
        <v/>
      </c>
      <c r="D371" s="15">
        <f>IFERROR(IF($C$4="H",INDEX(Mortalidad_H!$B$3:$BX$113,MATCH(B371,Mortalidad_H!$A$3:$A$113,0),MATCH(MIN(C371,2100),Mortalidad_H!$B$2:$BX$2,0)),INDEX(Mortalidad_M!$B$3:$BX$93,MATCH(B371,Mortalidad_M!$A$3:$A$93,0),MATCH(MIN(C371,2100),Mortalidad_M!$B$2:$BX$2,0))),1)</f>
        <v/>
      </c>
      <c r="E371" s="15">
        <f>1-(1-D371)^(1/12)</f>
        <v/>
      </c>
      <c r="F371" s="16">
        <f>F370*(1-E370)</f>
        <v/>
      </c>
      <c r="G371" s="16">
        <f>1/(1+$C$7)^(A371/12)</f>
        <v/>
      </c>
      <c r="H371" s="16">
        <f>F371*G371</f>
        <v/>
      </c>
    </row>
    <row r="372">
      <c r="A372" s="14" t="n">
        <v>360</v>
      </c>
      <c r="B372">
        <f>$C$5+INT(A372/12)</f>
        <v/>
      </c>
      <c r="C372">
        <f>Parametros!$B$5+INT(A372/12)</f>
        <v/>
      </c>
      <c r="D372" s="15">
        <f>IFERROR(IF($C$4="H",INDEX(Mortalidad_H!$B$3:$BX$113,MATCH(B372,Mortalidad_H!$A$3:$A$113,0),MATCH(MIN(C372,2100),Mortalidad_H!$B$2:$BX$2,0)),INDEX(Mortalidad_M!$B$3:$BX$93,MATCH(B372,Mortalidad_M!$A$3:$A$93,0),MATCH(MIN(C372,2100),Mortalidad_M!$B$2:$BX$2,0))),1)</f>
        <v/>
      </c>
      <c r="E372" s="15">
        <f>1-(1-D372)^(1/12)</f>
        <v/>
      </c>
      <c r="F372" s="16">
        <f>F371*(1-E371)</f>
        <v/>
      </c>
      <c r="G372" s="16">
        <f>1/(1+$C$7)^(A372/12)</f>
        <v/>
      </c>
      <c r="H372" s="16">
        <f>F372*G372</f>
        <v/>
      </c>
    </row>
    <row r="373">
      <c r="A373" s="14" t="n">
        <v>361</v>
      </c>
      <c r="B373">
        <f>$C$5+INT(A373/12)</f>
        <v/>
      </c>
      <c r="C373">
        <f>Parametros!$B$5+INT(A373/12)</f>
        <v/>
      </c>
      <c r="D373" s="15">
        <f>IFERROR(IF($C$4="H",INDEX(Mortalidad_H!$B$3:$BX$113,MATCH(B373,Mortalidad_H!$A$3:$A$113,0),MATCH(MIN(C373,2100),Mortalidad_H!$B$2:$BX$2,0)),INDEX(Mortalidad_M!$B$3:$BX$93,MATCH(B373,Mortalidad_M!$A$3:$A$93,0),MATCH(MIN(C373,2100),Mortalidad_M!$B$2:$BX$2,0))),1)</f>
        <v/>
      </c>
      <c r="E373" s="15">
        <f>1-(1-D373)^(1/12)</f>
        <v/>
      </c>
      <c r="F373" s="16">
        <f>F372*(1-E372)</f>
        <v/>
      </c>
      <c r="G373" s="16">
        <f>1/(1+$C$7)^(A373/12)</f>
        <v/>
      </c>
      <c r="H373" s="16">
        <f>F373*G373</f>
        <v/>
      </c>
    </row>
    <row r="374">
      <c r="A374" s="14" t="n">
        <v>362</v>
      </c>
      <c r="B374">
        <f>$C$5+INT(A374/12)</f>
        <v/>
      </c>
      <c r="C374">
        <f>Parametros!$B$5+INT(A374/12)</f>
        <v/>
      </c>
      <c r="D374" s="15">
        <f>IFERROR(IF($C$4="H",INDEX(Mortalidad_H!$B$3:$BX$113,MATCH(B374,Mortalidad_H!$A$3:$A$113,0),MATCH(MIN(C374,2100),Mortalidad_H!$B$2:$BX$2,0)),INDEX(Mortalidad_M!$B$3:$BX$93,MATCH(B374,Mortalidad_M!$A$3:$A$93,0),MATCH(MIN(C374,2100),Mortalidad_M!$B$2:$BX$2,0))),1)</f>
        <v/>
      </c>
      <c r="E374" s="15">
        <f>1-(1-D374)^(1/12)</f>
        <v/>
      </c>
      <c r="F374" s="16">
        <f>F373*(1-E373)</f>
        <v/>
      </c>
      <c r="G374" s="16">
        <f>1/(1+$C$7)^(A374/12)</f>
        <v/>
      </c>
      <c r="H374" s="16">
        <f>F374*G374</f>
        <v/>
      </c>
    </row>
    <row r="375">
      <c r="A375" s="14" t="n">
        <v>363</v>
      </c>
      <c r="B375">
        <f>$C$5+INT(A375/12)</f>
        <v/>
      </c>
      <c r="C375">
        <f>Parametros!$B$5+INT(A375/12)</f>
        <v/>
      </c>
      <c r="D375" s="15">
        <f>IFERROR(IF($C$4="H",INDEX(Mortalidad_H!$B$3:$BX$113,MATCH(B375,Mortalidad_H!$A$3:$A$113,0),MATCH(MIN(C375,2100),Mortalidad_H!$B$2:$BX$2,0)),INDEX(Mortalidad_M!$B$3:$BX$93,MATCH(B375,Mortalidad_M!$A$3:$A$93,0),MATCH(MIN(C375,2100),Mortalidad_M!$B$2:$BX$2,0))),1)</f>
        <v/>
      </c>
      <c r="E375" s="15">
        <f>1-(1-D375)^(1/12)</f>
        <v/>
      </c>
      <c r="F375" s="16">
        <f>F374*(1-E374)</f>
        <v/>
      </c>
      <c r="G375" s="16">
        <f>1/(1+$C$7)^(A375/12)</f>
        <v/>
      </c>
      <c r="H375" s="16">
        <f>F375*G375</f>
        <v/>
      </c>
    </row>
    <row r="376">
      <c r="A376" s="14" t="n">
        <v>364</v>
      </c>
      <c r="B376">
        <f>$C$5+INT(A376/12)</f>
        <v/>
      </c>
      <c r="C376">
        <f>Parametros!$B$5+INT(A376/12)</f>
        <v/>
      </c>
      <c r="D376" s="15">
        <f>IFERROR(IF($C$4="H",INDEX(Mortalidad_H!$B$3:$BX$113,MATCH(B376,Mortalidad_H!$A$3:$A$113,0),MATCH(MIN(C376,2100),Mortalidad_H!$B$2:$BX$2,0)),INDEX(Mortalidad_M!$B$3:$BX$93,MATCH(B376,Mortalidad_M!$A$3:$A$93,0),MATCH(MIN(C376,2100),Mortalidad_M!$B$2:$BX$2,0))),1)</f>
        <v/>
      </c>
      <c r="E376" s="15">
        <f>1-(1-D376)^(1/12)</f>
        <v/>
      </c>
      <c r="F376" s="16">
        <f>F375*(1-E375)</f>
        <v/>
      </c>
      <c r="G376" s="16">
        <f>1/(1+$C$7)^(A376/12)</f>
        <v/>
      </c>
      <c r="H376" s="16">
        <f>F376*G376</f>
        <v/>
      </c>
    </row>
    <row r="377">
      <c r="A377" s="14" t="n">
        <v>365</v>
      </c>
      <c r="B377">
        <f>$C$5+INT(A377/12)</f>
        <v/>
      </c>
      <c r="C377">
        <f>Parametros!$B$5+INT(A377/12)</f>
        <v/>
      </c>
      <c r="D377" s="15">
        <f>IFERROR(IF($C$4="H",INDEX(Mortalidad_H!$B$3:$BX$113,MATCH(B377,Mortalidad_H!$A$3:$A$113,0),MATCH(MIN(C377,2100),Mortalidad_H!$B$2:$BX$2,0)),INDEX(Mortalidad_M!$B$3:$BX$93,MATCH(B377,Mortalidad_M!$A$3:$A$93,0),MATCH(MIN(C377,2100),Mortalidad_M!$B$2:$BX$2,0))),1)</f>
        <v/>
      </c>
      <c r="E377" s="15">
        <f>1-(1-D377)^(1/12)</f>
        <v/>
      </c>
      <c r="F377" s="16">
        <f>F376*(1-E376)</f>
        <v/>
      </c>
      <c r="G377" s="16">
        <f>1/(1+$C$7)^(A377/12)</f>
        <v/>
      </c>
      <c r="H377" s="16">
        <f>F377*G377</f>
        <v/>
      </c>
    </row>
    <row r="378">
      <c r="A378" s="14" t="n">
        <v>366</v>
      </c>
      <c r="B378">
        <f>$C$5+INT(A378/12)</f>
        <v/>
      </c>
      <c r="C378">
        <f>Parametros!$B$5+INT(A378/12)</f>
        <v/>
      </c>
      <c r="D378" s="15">
        <f>IFERROR(IF($C$4="H",INDEX(Mortalidad_H!$B$3:$BX$113,MATCH(B378,Mortalidad_H!$A$3:$A$113,0),MATCH(MIN(C378,2100),Mortalidad_H!$B$2:$BX$2,0)),INDEX(Mortalidad_M!$B$3:$BX$93,MATCH(B378,Mortalidad_M!$A$3:$A$93,0),MATCH(MIN(C378,2100),Mortalidad_M!$B$2:$BX$2,0))),1)</f>
        <v/>
      </c>
      <c r="E378" s="15">
        <f>1-(1-D378)^(1/12)</f>
        <v/>
      </c>
      <c r="F378" s="16">
        <f>F377*(1-E377)</f>
        <v/>
      </c>
      <c r="G378" s="16">
        <f>1/(1+$C$7)^(A378/12)</f>
        <v/>
      </c>
      <c r="H378" s="16">
        <f>F378*G378</f>
        <v/>
      </c>
    </row>
    <row r="379">
      <c r="A379" s="14" t="n">
        <v>367</v>
      </c>
      <c r="B379">
        <f>$C$5+INT(A379/12)</f>
        <v/>
      </c>
      <c r="C379">
        <f>Parametros!$B$5+INT(A379/12)</f>
        <v/>
      </c>
      <c r="D379" s="15">
        <f>IFERROR(IF($C$4="H",INDEX(Mortalidad_H!$B$3:$BX$113,MATCH(B379,Mortalidad_H!$A$3:$A$113,0),MATCH(MIN(C379,2100),Mortalidad_H!$B$2:$BX$2,0)),INDEX(Mortalidad_M!$B$3:$BX$93,MATCH(B379,Mortalidad_M!$A$3:$A$93,0),MATCH(MIN(C379,2100),Mortalidad_M!$B$2:$BX$2,0))),1)</f>
        <v/>
      </c>
      <c r="E379" s="15">
        <f>1-(1-D379)^(1/12)</f>
        <v/>
      </c>
      <c r="F379" s="16">
        <f>F378*(1-E378)</f>
        <v/>
      </c>
      <c r="G379" s="16">
        <f>1/(1+$C$7)^(A379/12)</f>
        <v/>
      </c>
      <c r="H379" s="16">
        <f>F379*G379</f>
        <v/>
      </c>
    </row>
    <row r="380">
      <c r="A380" s="14" t="n">
        <v>368</v>
      </c>
      <c r="B380">
        <f>$C$5+INT(A380/12)</f>
        <v/>
      </c>
      <c r="C380">
        <f>Parametros!$B$5+INT(A380/12)</f>
        <v/>
      </c>
      <c r="D380" s="15">
        <f>IFERROR(IF($C$4="H",INDEX(Mortalidad_H!$B$3:$BX$113,MATCH(B380,Mortalidad_H!$A$3:$A$113,0),MATCH(MIN(C380,2100),Mortalidad_H!$B$2:$BX$2,0)),INDEX(Mortalidad_M!$B$3:$BX$93,MATCH(B380,Mortalidad_M!$A$3:$A$93,0),MATCH(MIN(C380,2100),Mortalidad_M!$B$2:$BX$2,0))),1)</f>
        <v/>
      </c>
      <c r="E380" s="15">
        <f>1-(1-D380)^(1/12)</f>
        <v/>
      </c>
      <c r="F380" s="16">
        <f>F379*(1-E379)</f>
        <v/>
      </c>
      <c r="G380" s="16">
        <f>1/(1+$C$7)^(A380/12)</f>
        <v/>
      </c>
      <c r="H380" s="16">
        <f>F380*G380</f>
        <v/>
      </c>
    </row>
    <row r="381">
      <c r="A381" s="14" t="n">
        <v>369</v>
      </c>
      <c r="B381">
        <f>$C$5+INT(A381/12)</f>
        <v/>
      </c>
      <c r="C381">
        <f>Parametros!$B$5+INT(A381/12)</f>
        <v/>
      </c>
      <c r="D381" s="15">
        <f>IFERROR(IF($C$4="H",INDEX(Mortalidad_H!$B$3:$BX$113,MATCH(B381,Mortalidad_H!$A$3:$A$113,0),MATCH(MIN(C381,2100),Mortalidad_H!$B$2:$BX$2,0)),INDEX(Mortalidad_M!$B$3:$BX$93,MATCH(B381,Mortalidad_M!$A$3:$A$93,0),MATCH(MIN(C381,2100),Mortalidad_M!$B$2:$BX$2,0))),1)</f>
        <v/>
      </c>
      <c r="E381" s="15">
        <f>1-(1-D381)^(1/12)</f>
        <v/>
      </c>
      <c r="F381" s="16">
        <f>F380*(1-E380)</f>
        <v/>
      </c>
      <c r="G381" s="16">
        <f>1/(1+$C$7)^(A381/12)</f>
        <v/>
      </c>
      <c r="H381" s="16">
        <f>F381*G381</f>
        <v/>
      </c>
    </row>
    <row r="382">
      <c r="A382" s="14" t="n">
        <v>370</v>
      </c>
      <c r="B382">
        <f>$C$5+INT(A382/12)</f>
        <v/>
      </c>
      <c r="C382">
        <f>Parametros!$B$5+INT(A382/12)</f>
        <v/>
      </c>
      <c r="D382" s="15">
        <f>IFERROR(IF($C$4="H",INDEX(Mortalidad_H!$B$3:$BX$113,MATCH(B382,Mortalidad_H!$A$3:$A$113,0),MATCH(MIN(C382,2100),Mortalidad_H!$B$2:$BX$2,0)),INDEX(Mortalidad_M!$B$3:$BX$93,MATCH(B382,Mortalidad_M!$A$3:$A$93,0),MATCH(MIN(C382,2100),Mortalidad_M!$B$2:$BX$2,0))),1)</f>
        <v/>
      </c>
      <c r="E382" s="15">
        <f>1-(1-D382)^(1/12)</f>
        <v/>
      </c>
      <c r="F382" s="16">
        <f>F381*(1-E381)</f>
        <v/>
      </c>
      <c r="G382" s="16">
        <f>1/(1+$C$7)^(A382/12)</f>
        <v/>
      </c>
      <c r="H382" s="16">
        <f>F382*G382</f>
        <v/>
      </c>
    </row>
    <row r="383">
      <c r="A383" s="14" t="n">
        <v>371</v>
      </c>
      <c r="B383">
        <f>$C$5+INT(A383/12)</f>
        <v/>
      </c>
      <c r="C383">
        <f>Parametros!$B$5+INT(A383/12)</f>
        <v/>
      </c>
      <c r="D383" s="15">
        <f>IFERROR(IF($C$4="H",INDEX(Mortalidad_H!$B$3:$BX$113,MATCH(B383,Mortalidad_H!$A$3:$A$113,0),MATCH(MIN(C383,2100),Mortalidad_H!$B$2:$BX$2,0)),INDEX(Mortalidad_M!$B$3:$BX$93,MATCH(B383,Mortalidad_M!$A$3:$A$93,0),MATCH(MIN(C383,2100),Mortalidad_M!$B$2:$BX$2,0))),1)</f>
        <v/>
      </c>
      <c r="E383" s="15">
        <f>1-(1-D383)^(1/12)</f>
        <v/>
      </c>
      <c r="F383" s="16">
        <f>F382*(1-E382)</f>
        <v/>
      </c>
      <c r="G383" s="16">
        <f>1/(1+$C$7)^(A383/12)</f>
        <v/>
      </c>
      <c r="H383" s="16">
        <f>F383*G383</f>
        <v/>
      </c>
    </row>
    <row r="384">
      <c r="A384" s="14" t="n">
        <v>372</v>
      </c>
      <c r="B384">
        <f>$C$5+INT(A384/12)</f>
        <v/>
      </c>
      <c r="C384">
        <f>Parametros!$B$5+INT(A384/12)</f>
        <v/>
      </c>
      <c r="D384" s="15">
        <f>IFERROR(IF($C$4="H",INDEX(Mortalidad_H!$B$3:$BX$113,MATCH(B384,Mortalidad_H!$A$3:$A$113,0),MATCH(MIN(C384,2100),Mortalidad_H!$B$2:$BX$2,0)),INDEX(Mortalidad_M!$B$3:$BX$93,MATCH(B384,Mortalidad_M!$A$3:$A$93,0),MATCH(MIN(C384,2100),Mortalidad_M!$B$2:$BX$2,0))),1)</f>
        <v/>
      </c>
      <c r="E384" s="15">
        <f>1-(1-D384)^(1/12)</f>
        <v/>
      </c>
      <c r="F384" s="16">
        <f>F383*(1-E383)</f>
        <v/>
      </c>
      <c r="G384" s="16">
        <f>1/(1+$C$7)^(A384/12)</f>
        <v/>
      </c>
      <c r="H384" s="16">
        <f>F384*G384</f>
        <v/>
      </c>
    </row>
    <row r="385">
      <c r="A385" s="14" t="n">
        <v>373</v>
      </c>
      <c r="B385">
        <f>$C$5+INT(A385/12)</f>
        <v/>
      </c>
      <c r="C385">
        <f>Parametros!$B$5+INT(A385/12)</f>
        <v/>
      </c>
      <c r="D385" s="15">
        <f>IFERROR(IF($C$4="H",INDEX(Mortalidad_H!$B$3:$BX$113,MATCH(B385,Mortalidad_H!$A$3:$A$113,0),MATCH(MIN(C385,2100),Mortalidad_H!$B$2:$BX$2,0)),INDEX(Mortalidad_M!$B$3:$BX$93,MATCH(B385,Mortalidad_M!$A$3:$A$93,0),MATCH(MIN(C385,2100),Mortalidad_M!$B$2:$BX$2,0))),1)</f>
        <v/>
      </c>
      <c r="E385" s="15">
        <f>1-(1-D385)^(1/12)</f>
        <v/>
      </c>
      <c r="F385" s="16">
        <f>F384*(1-E384)</f>
        <v/>
      </c>
      <c r="G385" s="16">
        <f>1/(1+$C$7)^(A385/12)</f>
        <v/>
      </c>
      <c r="H385" s="16">
        <f>F385*G385</f>
        <v/>
      </c>
    </row>
    <row r="386">
      <c r="A386" s="14" t="n">
        <v>374</v>
      </c>
      <c r="B386">
        <f>$C$5+INT(A386/12)</f>
        <v/>
      </c>
      <c r="C386">
        <f>Parametros!$B$5+INT(A386/12)</f>
        <v/>
      </c>
      <c r="D386" s="15">
        <f>IFERROR(IF($C$4="H",INDEX(Mortalidad_H!$B$3:$BX$113,MATCH(B386,Mortalidad_H!$A$3:$A$113,0),MATCH(MIN(C386,2100),Mortalidad_H!$B$2:$BX$2,0)),INDEX(Mortalidad_M!$B$3:$BX$93,MATCH(B386,Mortalidad_M!$A$3:$A$93,0),MATCH(MIN(C386,2100),Mortalidad_M!$B$2:$BX$2,0))),1)</f>
        <v/>
      </c>
      <c r="E386" s="15">
        <f>1-(1-D386)^(1/12)</f>
        <v/>
      </c>
      <c r="F386" s="16">
        <f>F385*(1-E385)</f>
        <v/>
      </c>
      <c r="G386" s="16">
        <f>1/(1+$C$7)^(A386/12)</f>
        <v/>
      </c>
      <c r="H386" s="16">
        <f>F386*G386</f>
        <v/>
      </c>
    </row>
    <row r="387">
      <c r="A387" s="14" t="n">
        <v>375</v>
      </c>
      <c r="B387">
        <f>$C$5+INT(A387/12)</f>
        <v/>
      </c>
      <c r="C387">
        <f>Parametros!$B$5+INT(A387/12)</f>
        <v/>
      </c>
      <c r="D387" s="15">
        <f>IFERROR(IF($C$4="H",INDEX(Mortalidad_H!$B$3:$BX$113,MATCH(B387,Mortalidad_H!$A$3:$A$113,0),MATCH(MIN(C387,2100),Mortalidad_H!$B$2:$BX$2,0)),INDEX(Mortalidad_M!$B$3:$BX$93,MATCH(B387,Mortalidad_M!$A$3:$A$93,0),MATCH(MIN(C387,2100),Mortalidad_M!$B$2:$BX$2,0))),1)</f>
        <v/>
      </c>
      <c r="E387" s="15">
        <f>1-(1-D387)^(1/12)</f>
        <v/>
      </c>
      <c r="F387" s="16">
        <f>F386*(1-E386)</f>
        <v/>
      </c>
      <c r="G387" s="16">
        <f>1/(1+$C$7)^(A387/12)</f>
        <v/>
      </c>
      <c r="H387" s="16">
        <f>F387*G387</f>
        <v/>
      </c>
    </row>
    <row r="388">
      <c r="A388" s="14" t="n">
        <v>376</v>
      </c>
      <c r="B388">
        <f>$C$5+INT(A388/12)</f>
        <v/>
      </c>
      <c r="C388">
        <f>Parametros!$B$5+INT(A388/12)</f>
        <v/>
      </c>
      <c r="D388" s="15">
        <f>IFERROR(IF($C$4="H",INDEX(Mortalidad_H!$B$3:$BX$113,MATCH(B388,Mortalidad_H!$A$3:$A$113,0),MATCH(MIN(C388,2100),Mortalidad_H!$B$2:$BX$2,0)),INDEX(Mortalidad_M!$B$3:$BX$93,MATCH(B388,Mortalidad_M!$A$3:$A$93,0),MATCH(MIN(C388,2100),Mortalidad_M!$B$2:$BX$2,0))),1)</f>
        <v/>
      </c>
      <c r="E388" s="15">
        <f>1-(1-D388)^(1/12)</f>
        <v/>
      </c>
      <c r="F388" s="16">
        <f>F387*(1-E387)</f>
        <v/>
      </c>
      <c r="G388" s="16">
        <f>1/(1+$C$7)^(A388/12)</f>
        <v/>
      </c>
      <c r="H388" s="16">
        <f>F388*G388</f>
        <v/>
      </c>
    </row>
    <row r="389">
      <c r="A389" s="14" t="n">
        <v>377</v>
      </c>
      <c r="B389">
        <f>$C$5+INT(A389/12)</f>
        <v/>
      </c>
      <c r="C389">
        <f>Parametros!$B$5+INT(A389/12)</f>
        <v/>
      </c>
      <c r="D389" s="15">
        <f>IFERROR(IF($C$4="H",INDEX(Mortalidad_H!$B$3:$BX$113,MATCH(B389,Mortalidad_H!$A$3:$A$113,0),MATCH(MIN(C389,2100),Mortalidad_H!$B$2:$BX$2,0)),INDEX(Mortalidad_M!$B$3:$BX$93,MATCH(B389,Mortalidad_M!$A$3:$A$93,0),MATCH(MIN(C389,2100),Mortalidad_M!$B$2:$BX$2,0))),1)</f>
        <v/>
      </c>
      <c r="E389" s="15">
        <f>1-(1-D389)^(1/12)</f>
        <v/>
      </c>
      <c r="F389" s="16">
        <f>F388*(1-E388)</f>
        <v/>
      </c>
      <c r="G389" s="16">
        <f>1/(1+$C$7)^(A389/12)</f>
        <v/>
      </c>
      <c r="H389" s="16">
        <f>F389*G389</f>
        <v/>
      </c>
    </row>
    <row r="390">
      <c r="A390" s="14" t="n">
        <v>378</v>
      </c>
      <c r="B390">
        <f>$C$5+INT(A390/12)</f>
        <v/>
      </c>
      <c r="C390">
        <f>Parametros!$B$5+INT(A390/12)</f>
        <v/>
      </c>
      <c r="D390" s="15">
        <f>IFERROR(IF($C$4="H",INDEX(Mortalidad_H!$B$3:$BX$113,MATCH(B390,Mortalidad_H!$A$3:$A$113,0),MATCH(MIN(C390,2100),Mortalidad_H!$B$2:$BX$2,0)),INDEX(Mortalidad_M!$B$3:$BX$93,MATCH(B390,Mortalidad_M!$A$3:$A$93,0),MATCH(MIN(C390,2100),Mortalidad_M!$B$2:$BX$2,0))),1)</f>
        <v/>
      </c>
      <c r="E390" s="15">
        <f>1-(1-D390)^(1/12)</f>
        <v/>
      </c>
      <c r="F390" s="16">
        <f>F389*(1-E389)</f>
        <v/>
      </c>
      <c r="G390" s="16">
        <f>1/(1+$C$7)^(A390/12)</f>
        <v/>
      </c>
      <c r="H390" s="16">
        <f>F390*G390</f>
        <v/>
      </c>
    </row>
    <row r="391">
      <c r="A391" s="14" t="n">
        <v>379</v>
      </c>
      <c r="B391">
        <f>$C$5+INT(A391/12)</f>
        <v/>
      </c>
      <c r="C391">
        <f>Parametros!$B$5+INT(A391/12)</f>
        <v/>
      </c>
      <c r="D391" s="15">
        <f>IFERROR(IF($C$4="H",INDEX(Mortalidad_H!$B$3:$BX$113,MATCH(B391,Mortalidad_H!$A$3:$A$113,0),MATCH(MIN(C391,2100),Mortalidad_H!$B$2:$BX$2,0)),INDEX(Mortalidad_M!$B$3:$BX$93,MATCH(B391,Mortalidad_M!$A$3:$A$93,0),MATCH(MIN(C391,2100),Mortalidad_M!$B$2:$BX$2,0))),1)</f>
        <v/>
      </c>
      <c r="E391" s="15">
        <f>1-(1-D391)^(1/12)</f>
        <v/>
      </c>
      <c r="F391" s="16">
        <f>F390*(1-E390)</f>
        <v/>
      </c>
      <c r="G391" s="16">
        <f>1/(1+$C$7)^(A391/12)</f>
        <v/>
      </c>
      <c r="H391" s="16">
        <f>F391*G391</f>
        <v/>
      </c>
    </row>
    <row r="392">
      <c r="A392" s="14" t="n">
        <v>380</v>
      </c>
      <c r="B392">
        <f>$C$5+INT(A392/12)</f>
        <v/>
      </c>
      <c r="C392">
        <f>Parametros!$B$5+INT(A392/12)</f>
        <v/>
      </c>
      <c r="D392" s="15">
        <f>IFERROR(IF($C$4="H",INDEX(Mortalidad_H!$B$3:$BX$113,MATCH(B392,Mortalidad_H!$A$3:$A$113,0),MATCH(MIN(C392,2100),Mortalidad_H!$B$2:$BX$2,0)),INDEX(Mortalidad_M!$B$3:$BX$93,MATCH(B392,Mortalidad_M!$A$3:$A$93,0),MATCH(MIN(C392,2100),Mortalidad_M!$B$2:$BX$2,0))),1)</f>
        <v/>
      </c>
      <c r="E392" s="15">
        <f>1-(1-D392)^(1/12)</f>
        <v/>
      </c>
      <c r="F392" s="16">
        <f>F391*(1-E391)</f>
        <v/>
      </c>
      <c r="G392" s="16">
        <f>1/(1+$C$7)^(A392/12)</f>
        <v/>
      </c>
      <c r="H392" s="16">
        <f>F392*G392</f>
        <v/>
      </c>
    </row>
    <row r="393">
      <c r="A393" s="14" t="n">
        <v>381</v>
      </c>
      <c r="B393">
        <f>$C$5+INT(A393/12)</f>
        <v/>
      </c>
      <c r="C393">
        <f>Parametros!$B$5+INT(A393/12)</f>
        <v/>
      </c>
      <c r="D393" s="15">
        <f>IFERROR(IF($C$4="H",INDEX(Mortalidad_H!$B$3:$BX$113,MATCH(B393,Mortalidad_H!$A$3:$A$113,0),MATCH(MIN(C393,2100),Mortalidad_H!$B$2:$BX$2,0)),INDEX(Mortalidad_M!$B$3:$BX$93,MATCH(B393,Mortalidad_M!$A$3:$A$93,0),MATCH(MIN(C393,2100),Mortalidad_M!$B$2:$BX$2,0))),1)</f>
        <v/>
      </c>
      <c r="E393" s="15">
        <f>1-(1-D393)^(1/12)</f>
        <v/>
      </c>
      <c r="F393" s="16">
        <f>F392*(1-E392)</f>
        <v/>
      </c>
      <c r="G393" s="16">
        <f>1/(1+$C$7)^(A393/12)</f>
        <v/>
      </c>
      <c r="H393" s="16">
        <f>F393*G393</f>
        <v/>
      </c>
    </row>
    <row r="394">
      <c r="A394" s="14" t="n">
        <v>382</v>
      </c>
      <c r="B394">
        <f>$C$5+INT(A394/12)</f>
        <v/>
      </c>
      <c r="C394">
        <f>Parametros!$B$5+INT(A394/12)</f>
        <v/>
      </c>
      <c r="D394" s="15">
        <f>IFERROR(IF($C$4="H",INDEX(Mortalidad_H!$B$3:$BX$113,MATCH(B394,Mortalidad_H!$A$3:$A$113,0),MATCH(MIN(C394,2100),Mortalidad_H!$B$2:$BX$2,0)),INDEX(Mortalidad_M!$B$3:$BX$93,MATCH(B394,Mortalidad_M!$A$3:$A$93,0),MATCH(MIN(C394,2100),Mortalidad_M!$B$2:$BX$2,0))),1)</f>
        <v/>
      </c>
      <c r="E394" s="15">
        <f>1-(1-D394)^(1/12)</f>
        <v/>
      </c>
      <c r="F394" s="16">
        <f>F393*(1-E393)</f>
        <v/>
      </c>
      <c r="G394" s="16">
        <f>1/(1+$C$7)^(A394/12)</f>
        <v/>
      </c>
      <c r="H394" s="16">
        <f>F394*G394</f>
        <v/>
      </c>
    </row>
    <row r="395">
      <c r="A395" s="14" t="n">
        <v>383</v>
      </c>
      <c r="B395">
        <f>$C$5+INT(A395/12)</f>
        <v/>
      </c>
      <c r="C395">
        <f>Parametros!$B$5+INT(A395/12)</f>
        <v/>
      </c>
      <c r="D395" s="15">
        <f>IFERROR(IF($C$4="H",INDEX(Mortalidad_H!$B$3:$BX$113,MATCH(B395,Mortalidad_H!$A$3:$A$113,0),MATCH(MIN(C395,2100),Mortalidad_H!$B$2:$BX$2,0)),INDEX(Mortalidad_M!$B$3:$BX$93,MATCH(B395,Mortalidad_M!$A$3:$A$93,0),MATCH(MIN(C395,2100),Mortalidad_M!$B$2:$BX$2,0))),1)</f>
        <v/>
      </c>
      <c r="E395" s="15">
        <f>1-(1-D395)^(1/12)</f>
        <v/>
      </c>
      <c r="F395" s="16">
        <f>F394*(1-E394)</f>
        <v/>
      </c>
      <c r="G395" s="16">
        <f>1/(1+$C$7)^(A395/12)</f>
        <v/>
      </c>
      <c r="H395" s="16">
        <f>F395*G395</f>
        <v/>
      </c>
    </row>
    <row r="396">
      <c r="A396" s="14" t="n">
        <v>384</v>
      </c>
      <c r="B396">
        <f>$C$5+INT(A396/12)</f>
        <v/>
      </c>
      <c r="C396">
        <f>Parametros!$B$5+INT(A396/12)</f>
        <v/>
      </c>
      <c r="D396" s="15">
        <f>IFERROR(IF($C$4="H",INDEX(Mortalidad_H!$B$3:$BX$113,MATCH(B396,Mortalidad_H!$A$3:$A$113,0),MATCH(MIN(C396,2100),Mortalidad_H!$B$2:$BX$2,0)),INDEX(Mortalidad_M!$B$3:$BX$93,MATCH(B396,Mortalidad_M!$A$3:$A$93,0),MATCH(MIN(C396,2100),Mortalidad_M!$B$2:$BX$2,0))),1)</f>
        <v/>
      </c>
      <c r="E396" s="15">
        <f>1-(1-D396)^(1/12)</f>
        <v/>
      </c>
      <c r="F396" s="16">
        <f>F395*(1-E395)</f>
        <v/>
      </c>
      <c r="G396" s="16">
        <f>1/(1+$C$7)^(A396/12)</f>
        <v/>
      </c>
      <c r="H396" s="16">
        <f>F396*G396</f>
        <v/>
      </c>
    </row>
    <row r="397">
      <c r="A397" s="14" t="n">
        <v>385</v>
      </c>
      <c r="B397">
        <f>$C$5+INT(A397/12)</f>
        <v/>
      </c>
      <c r="C397">
        <f>Parametros!$B$5+INT(A397/12)</f>
        <v/>
      </c>
      <c r="D397" s="15">
        <f>IFERROR(IF($C$4="H",INDEX(Mortalidad_H!$B$3:$BX$113,MATCH(B397,Mortalidad_H!$A$3:$A$113,0),MATCH(MIN(C397,2100),Mortalidad_H!$B$2:$BX$2,0)),INDEX(Mortalidad_M!$B$3:$BX$93,MATCH(B397,Mortalidad_M!$A$3:$A$93,0),MATCH(MIN(C397,2100),Mortalidad_M!$B$2:$BX$2,0))),1)</f>
        <v/>
      </c>
      <c r="E397" s="15">
        <f>1-(1-D397)^(1/12)</f>
        <v/>
      </c>
      <c r="F397" s="16">
        <f>F396*(1-E396)</f>
        <v/>
      </c>
      <c r="G397" s="16">
        <f>1/(1+$C$7)^(A397/12)</f>
        <v/>
      </c>
      <c r="H397" s="16">
        <f>F397*G397</f>
        <v/>
      </c>
    </row>
    <row r="398">
      <c r="A398" s="14" t="n">
        <v>386</v>
      </c>
      <c r="B398">
        <f>$C$5+INT(A398/12)</f>
        <v/>
      </c>
      <c r="C398">
        <f>Parametros!$B$5+INT(A398/12)</f>
        <v/>
      </c>
      <c r="D398" s="15">
        <f>IFERROR(IF($C$4="H",INDEX(Mortalidad_H!$B$3:$BX$113,MATCH(B398,Mortalidad_H!$A$3:$A$113,0),MATCH(MIN(C398,2100),Mortalidad_H!$B$2:$BX$2,0)),INDEX(Mortalidad_M!$B$3:$BX$93,MATCH(B398,Mortalidad_M!$A$3:$A$93,0),MATCH(MIN(C398,2100),Mortalidad_M!$B$2:$BX$2,0))),1)</f>
        <v/>
      </c>
      <c r="E398" s="15">
        <f>1-(1-D398)^(1/12)</f>
        <v/>
      </c>
      <c r="F398" s="16">
        <f>F397*(1-E397)</f>
        <v/>
      </c>
      <c r="G398" s="16">
        <f>1/(1+$C$7)^(A398/12)</f>
        <v/>
      </c>
      <c r="H398" s="16">
        <f>F398*G398</f>
        <v/>
      </c>
    </row>
    <row r="399">
      <c r="A399" s="14" t="n">
        <v>387</v>
      </c>
      <c r="B399">
        <f>$C$5+INT(A399/12)</f>
        <v/>
      </c>
      <c r="C399">
        <f>Parametros!$B$5+INT(A399/12)</f>
        <v/>
      </c>
      <c r="D399" s="15">
        <f>IFERROR(IF($C$4="H",INDEX(Mortalidad_H!$B$3:$BX$113,MATCH(B399,Mortalidad_H!$A$3:$A$113,0),MATCH(MIN(C399,2100),Mortalidad_H!$B$2:$BX$2,0)),INDEX(Mortalidad_M!$B$3:$BX$93,MATCH(B399,Mortalidad_M!$A$3:$A$93,0),MATCH(MIN(C399,2100),Mortalidad_M!$B$2:$BX$2,0))),1)</f>
        <v/>
      </c>
      <c r="E399" s="15">
        <f>1-(1-D399)^(1/12)</f>
        <v/>
      </c>
      <c r="F399" s="16">
        <f>F398*(1-E398)</f>
        <v/>
      </c>
      <c r="G399" s="16">
        <f>1/(1+$C$7)^(A399/12)</f>
        <v/>
      </c>
      <c r="H399" s="16">
        <f>F399*G399</f>
        <v/>
      </c>
    </row>
    <row r="400">
      <c r="A400" s="14" t="n">
        <v>388</v>
      </c>
      <c r="B400">
        <f>$C$5+INT(A400/12)</f>
        <v/>
      </c>
      <c r="C400">
        <f>Parametros!$B$5+INT(A400/12)</f>
        <v/>
      </c>
      <c r="D400" s="15">
        <f>IFERROR(IF($C$4="H",INDEX(Mortalidad_H!$B$3:$BX$113,MATCH(B400,Mortalidad_H!$A$3:$A$113,0),MATCH(MIN(C400,2100),Mortalidad_H!$B$2:$BX$2,0)),INDEX(Mortalidad_M!$B$3:$BX$93,MATCH(B400,Mortalidad_M!$A$3:$A$93,0),MATCH(MIN(C400,2100),Mortalidad_M!$B$2:$BX$2,0))),1)</f>
        <v/>
      </c>
      <c r="E400" s="15">
        <f>1-(1-D400)^(1/12)</f>
        <v/>
      </c>
      <c r="F400" s="16">
        <f>F399*(1-E399)</f>
        <v/>
      </c>
      <c r="G400" s="16">
        <f>1/(1+$C$7)^(A400/12)</f>
        <v/>
      </c>
      <c r="H400" s="16">
        <f>F400*G400</f>
        <v/>
      </c>
    </row>
    <row r="401">
      <c r="A401" s="14" t="n">
        <v>389</v>
      </c>
      <c r="B401">
        <f>$C$5+INT(A401/12)</f>
        <v/>
      </c>
      <c r="C401">
        <f>Parametros!$B$5+INT(A401/12)</f>
        <v/>
      </c>
      <c r="D401" s="15">
        <f>IFERROR(IF($C$4="H",INDEX(Mortalidad_H!$B$3:$BX$113,MATCH(B401,Mortalidad_H!$A$3:$A$113,0),MATCH(MIN(C401,2100),Mortalidad_H!$B$2:$BX$2,0)),INDEX(Mortalidad_M!$B$3:$BX$93,MATCH(B401,Mortalidad_M!$A$3:$A$93,0),MATCH(MIN(C401,2100),Mortalidad_M!$B$2:$BX$2,0))),1)</f>
        <v/>
      </c>
      <c r="E401" s="15">
        <f>1-(1-D401)^(1/12)</f>
        <v/>
      </c>
      <c r="F401" s="16">
        <f>F400*(1-E400)</f>
        <v/>
      </c>
      <c r="G401" s="16">
        <f>1/(1+$C$7)^(A401/12)</f>
        <v/>
      </c>
      <c r="H401" s="16">
        <f>F401*G401</f>
        <v/>
      </c>
    </row>
    <row r="402">
      <c r="A402" s="14" t="n">
        <v>390</v>
      </c>
      <c r="B402">
        <f>$C$5+INT(A402/12)</f>
        <v/>
      </c>
      <c r="C402">
        <f>Parametros!$B$5+INT(A402/12)</f>
        <v/>
      </c>
      <c r="D402" s="15">
        <f>IFERROR(IF($C$4="H",INDEX(Mortalidad_H!$B$3:$BX$113,MATCH(B402,Mortalidad_H!$A$3:$A$113,0),MATCH(MIN(C402,2100),Mortalidad_H!$B$2:$BX$2,0)),INDEX(Mortalidad_M!$B$3:$BX$93,MATCH(B402,Mortalidad_M!$A$3:$A$93,0),MATCH(MIN(C402,2100),Mortalidad_M!$B$2:$BX$2,0))),1)</f>
        <v/>
      </c>
      <c r="E402" s="15">
        <f>1-(1-D402)^(1/12)</f>
        <v/>
      </c>
      <c r="F402" s="16">
        <f>F401*(1-E401)</f>
        <v/>
      </c>
      <c r="G402" s="16">
        <f>1/(1+$C$7)^(A402/12)</f>
        <v/>
      </c>
      <c r="H402" s="16">
        <f>F402*G402</f>
        <v/>
      </c>
    </row>
    <row r="403">
      <c r="A403" s="14" t="n">
        <v>391</v>
      </c>
      <c r="B403">
        <f>$C$5+INT(A403/12)</f>
        <v/>
      </c>
      <c r="C403">
        <f>Parametros!$B$5+INT(A403/12)</f>
        <v/>
      </c>
      <c r="D403" s="15">
        <f>IFERROR(IF($C$4="H",INDEX(Mortalidad_H!$B$3:$BX$113,MATCH(B403,Mortalidad_H!$A$3:$A$113,0),MATCH(MIN(C403,2100),Mortalidad_H!$B$2:$BX$2,0)),INDEX(Mortalidad_M!$B$3:$BX$93,MATCH(B403,Mortalidad_M!$A$3:$A$93,0),MATCH(MIN(C403,2100),Mortalidad_M!$B$2:$BX$2,0))),1)</f>
        <v/>
      </c>
      <c r="E403" s="15">
        <f>1-(1-D403)^(1/12)</f>
        <v/>
      </c>
      <c r="F403" s="16">
        <f>F402*(1-E402)</f>
        <v/>
      </c>
      <c r="G403" s="16">
        <f>1/(1+$C$7)^(A403/12)</f>
        <v/>
      </c>
      <c r="H403" s="16">
        <f>F403*G403</f>
        <v/>
      </c>
    </row>
    <row r="404">
      <c r="A404" s="14" t="n">
        <v>392</v>
      </c>
      <c r="B404">
        <f>$C$5+INT(A404/12)</f>
        <v/>
      </c>
      <c r="C404">
        <f>Parametros!$B$5+INT(A404/12)</f>
        <v/>
      </c>
      <c r="D404" s="15">
        <f>IFERROR(IF($C$4="H",INDEX(Mortalidad_H!$B$3:$BX$113,MATCH(B404,Mortalidad_H!$A$3:$A$113,0),MATCH(MIN(C404,2100),Mortalidad_H!$B$2:$BX$2,0)),INDEX(Mortalidad_M!$B$3:$BX$93,MATCH(B404,Mortalidad_M!$A$3:$A$93,0),MATCH(MIN(C404,2100),Mortalidad_M!$B$2:$BX$2,0))),1)</f>
        <v/>
      </c>
      <c r="E404" s="15">
        <f>1-(1-D404)^(1/12)</f>
        <v/>
      </c>
      <c r="F404" s="16">
        <f>F403*(1-E403)</f>
        <v/>
      </c>
      <c r="G404" s="16">
        <f>1/(1+$C$7)^(A404/12)</f>
        <v/>
      </c>
      <c r="H404" s="16">
        <f>F404*G404</f>
        <v/>
      </c>
    </row>
    <row r="405">
      <c r="A405" s="14" t="n">
        <v>393</v>
      </c>
      <c r="B405">
        <f>$C$5+INT(A405/12)</f>
        <v/>
      </c>
      <c r="C405">
        <f>Parametros!$B$5+INT(A405/12)</f>
        <v/>
      </c>
      <c r="D405" s="15">
        <f>IFERROR(IF($C$4="H",INDEX(Mortalidad_H!$B$3:$BX$113,MATCH(B405,Mortalidad_H!$A$3:$A$113,0),MATCH(MIN(C405,2100),Mortalidad_H!$B$2:$BX$2,0)),INDEX(Mortalidad_M!$B$3:$BX$93,MATCH(B405,Mortalidad_M!$A$3:$A$93,0),MATCH(MIN(C405,2100),Mortalidad_M!$B$2:$BX$2,0))),1)</f>
        <v/>
      </c>
      <c r="E405" s="15">
        <f>1-(1-D405)^(1/12)</f>
        <v/>
      </c>
      <c r="F405" s="16">
        <f>F404*(1-E404)</f>
        <v/>
      </c>
      <c r="G405" s="16">
        <f>1/(1+$C$7)^(A405/12)</f>
        <v/>
      </c>
      <c r="H405" s="16">
        <f>F405*G405</f>
        <v/>
      </c>
    </row>
    <row r="406">
      <c r="A406" s="14" t="n">
        <v>394</v>
      </c>
      <c r="B406">
        <f>$C$5+INT(A406/12)</f>
        <v/>
      </c>
      <c r="C406">
        <f>Parametros!$B$5+INT(A406/12)</f>
        <v/>
      </c>
      <c r="D406" s="15">
        <f>IFERROR(IF($C$4="H",INDEX(Mortalidad_H!$B$3:$BX$113,MATCH(B406,Mortalidad_H!$A$3:$A$113,0),MATCH(MIN(C406,2100),Mortalidad_H!$B$2:$BX$2,0)),INDEX(Mortalidad_M!$B$3:$BX$93,MATCH(B406,Mortalidad_M!$A$3:$A$93,0),MATCH(MIN(C406,2100),Mortalidad_M!$B$2:$BX$2,0))),1)</f>
        <v/>
      </c>
      <c r="E406" s="15">
        <f>1-(1-D406)^(1/12)</f>
        <v/>
      </c>
      <c r="F406" s="16">
        <f>F405*(1-E405)</f>
        <v/>
      </c>
      <c r="G406" s="16">
        <f>1/(1+$C$7)^(A406/12)</f>
        <v/>
      </c>
      <c r="H406" s="16">
        <f>F406*G406</f>
        <v/>
      </c>
    </row>
    <row r="407">
      <c r="A407" s="14" t="n">
        <v>395</v>
      </c>
      <c r="B407">
        <f>$C$5+INT(A407/12)</f>
        <v/>
      </c>
      <c r="C407">
        <f>Parametros!$B$5+INT(A407/12)</f>
        <v/>
      </c>
      <c r="D407" s="15">
        <f>IFERROR(IF($C$4="H",INDEX(Mortalidad_H!$B$3:$BX$113,MATCH(B407,Mortalidad_H!$A$3:$A$113,0),MATCH(MIN(C407,2100),Mortalidad_H!$B$2:$BX$2,0)),INDEX(Mortalidad_M!$B$3:$BX$93,MATCH(B407,Mortalidad_M!$A$3:$A$93,0),MATCH(MIN(C407,2100),Mortalidad_M!$B$2:$BX$2,0))),1)</f>
        <v/>
      </c>
      <c r="E407" s="15">
        <f>1-(1-D407)^(1/12)</f>
        <v/>
      </c>
      <c r="F407" s="16">
        <f>F406*(1-E406)</f>
        <v/>
      </c>
      <c r="G407" s="16">
        <f>1/(1+$C$7)^(A407/12)</f>
        <v/>
      </c>
      <c r="H407" s="16">
        <f>F407*G407</f>
        <v/>
      </c>
    </row>
    <row r="408">
      <c r="A408" s="14" t="n">
        <v>396</v>
      </c>
      <c r="B408">
        <f>$C$5+INT(A408/12)</f>
        <v/>
      </c>
      <c r="C408">
        <f>Parametros!$B$5+INT(A408/12)</f>
        <v/>
      </c>
      <c r="D408" s="15">
        <f>IFERROR(IF($C$4="H",INDEX(Mortalidad_H!$B$3:$BX$113,MATCH(B408,Mortalidad_H!$A$3:$A$113,0),MATCH(MIN(C408,2100),Mortalidad_H!$B$2:$BX$2,0)),INDEX(Mortalidad_M!$B$3:$BX$93,MATCH(B408,Mortalidad_M!$A$3:$A$93,0),MATCH(MIN(C408,2100),Mortalidad_M!$B$2:$BX$2,0))),1)</f>
        <v/>
      </c>
      <c r="E408" s="15">
        <f>1-(1-D408)^(1/12)</f>
        <v/>
      </c>
      <c r="F408" s="16">
        <f>F407*(1-E407)</f>
        <v/>
      </c>
      <c r="G408" s="16">
        <f>1/(1+$C$7)^(A408/12)</f>
        <v/>
      </c>
      <c r="H408" s="16">
        <f>F408*G408</f>
        <v/>
      </c>
    </row>
    <row r="409">
      <c r="A409" s="14" t="n">
        <v>397</v>
      </c>
      <c r="B409">
        <f>$C$5+INT(A409/12)</f>
        <v/>
      </c>
      <c r="C409">
        <f>Parametros!$B$5+INT(A409/12)</f>
        <v/>
      </c>
      <c r="D409" s="15">
        <f>IFERROR(IF($C$4="H",INDEX(Mortalidad_H!$B$3:$BX$113,MATCH(B409,Mortalidad_H!$A$3:$A$113,0),MATCH(MIN(C409,2100),Mortalidad_H!$B$2:$BX$2,0)),INDEX(Mortalidad_M!$B$3:$BX$93,MATCH(B409,Mortalidad_M!$A$3:$A$93,0),MATCH(MIN(C409,2100),Mortalidad_M!$B$2:$BX$2,0))),1)</f>
        <v/>
      </c>
      <c r="E409" s="15">
        <f>1-(1-D409)^(1/12)</f>
        <v/>
      </c>
      <c r="F409" s="16">
        <f>F408*(1-E408)</f>
        <v/>
      </c>
      <c r="G409" s="16">
        <f>1/(1+$C$7)^(A409/12)</f>
        <v/>
      </c>
      <c r="H409" s="16">
        <f>F409*G409</f>
        <v/>
      </c>
    </row>
    <row r="410">
      <c r="A410" s="14" t="n">
        <v>398</v>
      </c>
      <c r="B410">
        <f>$C$5+INT(A410/12)</f>
        <v/>
      </c>
      <c r="C410">
        <f>Parametros!$B$5+INT(A410/12)</f>
        <v/>
      </c>
      <c r="D410" s="15">
        <f>IFERROR(IF($C$4="H",INDEX(Mortalidad_H!$B$3:$BX$113,MATCH(B410,Mortalidad_H!$A$3:$A$113,0),MATCH(MIN(C410,2100),Mortalidad_H!$B$2:$BX$2,0)),INDEX(Mortalidad_M!$B$3:$BX$93,MATCH(B410,Mortalidad_M!$A$3:$A$93,0),MATCH(MIN(C410,2100),Mortalidad_M!$B$2:$BX$2,0))),1)</f>
        <v/>
      </c>
      <c r="E410" s="15">
        <f>1-(1-D410)^(1/12)</f>
        <v/>
      </c>
      <c r="F410" s="16">
        <f>F409*(1-E409)</f>
        <v/>
      </c>
      <c r="G410" s="16">
        <f>1/(1+$C$7)^(A410/12)</f>
        <v/>
      </c>
      <c r="H410" s="16">
        <f>F410*G410</f>
        <v/>
      </c>
    </row>
    <row r="411">
      <c r="A411" s="14" t="n">
        <v>399</v>
      </c>
      <c r="B411">
        <f>$C$5+INT(A411/12)</f>
        <v/>
      </c>
      <c r="C411">
        <f>Parametros!$B$5+INT(A411/12)</f>
        <v/>
      </c>
      <c r="D411" s="15">
        <f>IFERROR(IF($C$4="H",INDEX(Mortalidad_H!$B$3:$BX$113,MATCH(B411,Mortalidad_H!$A$3:$A$113,0),MATCH(MIN(C411,2100),Mortalidad_H!$B$2:$BX$2,0)),INDEX(Mortalidad_M!$B$3:$BX$93,MATCH(B411,Mortalidad_M!$A$3:$A$93,0),MATCH(MIN(C411,2100),Mortalidad_M!$B$2:$BX$2,0))),1)</f>
        <v/>
      </c>
      <c r="E411" s="15">
        <f>1-(1-D411)^(1/12)</f>
        <v/>
      </c>
      <c r="F411" s="16">
        <f>F410*(1-E410)</f>
        <v/>
      </c>
      <c r="G411" s="16">
        <f>1/(1+$C$7)^(A411/12)</f>
        <v/>
      </c>
      <c r="H411" s="16">
        <f>F411*G411</f>
        <v/>
      </c>
    </row>
    <row r="412">
      <c r="A412" s="14" t="n">
        <v>400</v>
      </c>
      <c r="B412">
        <f>$C$5+INT(A412/12)</f>
        <v/>
      </c>
      <c r="C412">
        <f>Parametros!$B$5+INT(A412/12)</f>
        <v/>
      </c>
      <c r="D412" s="15">
        <f>IFERROR(IF($C$4="H",INDEX(Mortalidad_H!$B$3:$BX$113,MATCH(B412,Mortalidad_H!$A$3:$A$113,0),MATCH(MIN(C412,2100),Mortalidad_H!$B$2:$BX$2,0)),INDEX(Mortalidad_M!$B$3:$BX$93,MATCH(B412,Mortalidad_M!$A$3:$A$93,0),MATCH(MIN(C412,2100),Mortalidad_M!$B$2:$BX$2,0))),1)</f>
        <v/>
      </c>
      <c r="E412" s="15">
        <f>1-(1-D412)^(1/12)</f>
        <v/>
      </c>
      <c r="F412" s="16">
        <f>F411*(1-E411)</f>
        <v/>
      </c>
      <c r="G412" s="16">
        <f>1/(1+$C$7)^(A412/12)</f>
        <v/>
      </c>
      <c r="H412" s="16">
        <f>F412*G412</f>
        <v/>
      </c>
    </row>
    <row r="413">
      <c r="A413" s="14" t="n">
        <v>401</v>
      </c>
      <c r="B413">
        <f>$C$5+INT(A413/12)</f>
        <v/>
      </c>
      <c r="C413">
        <f>Parametros!$B$5+INT(A413/12)</f>
        <v/>
      </c>
      <c r="D413" s="15">
        <f>IFERROR(IF($C$4="H",INDEX(Mortalidad_H!$B$3:$BX$113,MATCH(B413,Mortalidad_H!$A$3:$A$113,0),MATCH(MIN(C413,2100),Mortalidad_H!$B$2:$BX$2,0)),INDEX(Mortalidad_M!$B$3:$BX$93,MATCH(B413,Mortalidad_M!$A$3:$A$93,0),MATCH(MIN(C413,2100),Mortalidad_M!$B$2:$BX$2,0))),1)</f>
        <v/>
      </c>
      <c r="E413" s="15">
        <f>1-(1-D413)^(1/12)</f>
        <v/>
      </c>
      <c r="F413" s="16">
        <f>F412*(1-E412)</f>
        <v/>
      </c>
      <c r="G413" s="16">
        <f>1/(1+$C$7)^(A413/12)</f>
        <v/>
      </c>
      <c r="H413" s="16">
        <f>F413*G413</f>
        <v/>
      </c>
    </row>
    <row r="414">
      <c r="A414" s="14" t="n">
        <v>402</v>
      </c>
      <c r="B414">
        <f>$C$5+INT(A414/12)</f>
        <v/>
      </c>
      <c r="C414">
        <f>Parametros!$B$5+INT(A414/12)</f>
        <v/>
      </c>
      <c r="D414" s="15">
        <f>IFERROR(IF($C$4="H",INDEX(Mortalidad_H!$B$3:$BX$113,MATCH(B414,Mortalidad_H!$A$3:$A$113,0),MATCH(MIN(C414,2100),Mortalidad_H!$B$2:$BX$2,0)),INDEX(Mortalidad_M!$B$3:$BX$93,MATCH(B414,Mortalidad_M!$A$3:$A$93,0),MATCH(MIN(C414,2100),Mortalidad_M!$B$2:$BX$2,0))),1)</f>
        <v/>
      </c>
      <c r="E414" s="15">
        <f>1-(1-D414)^(1/12)</f>
        <v/>
      </c>
      <c r="F414" s="16">
        <f>F413*(1-E413)</f>
        <v/>
      </c>
      <c r="G414" s="16">
        <f>1/(1+$C$7)^(A414/12)</f>
        <v/>
      </c>
      <c r="H414" s="16">
        <f>F414*G414</f>
        <v/>
      </c>
    </row>
    <row r="415">
      <c r="A415" s="14" t="n">
        <v>403</v>
      </c>
      <c r="B415">
        <f>$C$5+INT(A415/12)</f>
        <v/>
      </c>
      <c r="C415">
        <f>Parametros!$B$5+INT(A415/12)</f>
        <v/>
      </c>
      <c r="D415" s="15">
        <f>IFERROR(IF($C$4="H",INDEX(Mortalidad_H!$B$3:$BX$113,MATCH(B415,Mortalidad_H!$A$3:$A$113,0),MATCH(MIN(C415,2100),Mortalidad_H!$B$2:$BX$2,0)),INDEX(Mortalidad_M!$B$3:$BX$93,MATCH(B415,Mortalidad_M!$A$3:$A$93,0),MATCH(MIN(C415,2100),Mortalidad_M!$B$2:$BX$2,0))),1)</f>
        <v/>
      </c>
      <c r="E415" s="15">
        <f>1-(1-D415)^(1/12)</f>
        <v/>
      </c>
      <c r="F415" s="16">
        <f>F414*(1-E414)</f>
        <v/>
      </c>
      <c r="G415" s="16">
        <f>1/(1+$C$7)^(A415/12)</f>
        <v/>
      </c>
      <c r="H415" s="16">
        <f>F415*G415</f>
        <v/>
      </c>
    </row>
    <row r="416">
      <c r="A416" s="14" t="n">
        <v>404</v>
      </c>
      <c r="B416">
        <f>$C$5+INT(A416/12)</f>
        <v/>
      </c>
      <c r="C416">
        <f>Parametros!$B$5+INT(A416/12)</f>
        <v/>
      </c>
      <c r="D416" s="15">
        <f>IFERROR(IF($C$4="H",INDEX(Mortalidad_H!$B$3:$BX$113,MATCH(B416,Mortalidad_H!$A$3:$A$113,0),MATCH(MIN(C416,2100),Mortalidad_H!$B$2:$BX$2,0)),INDEX(Mortalidad_M!$B$3:$BX$93,MATCH(B416,Mortalidad_M!$A$3:$A$93,0),MATCH(MIN(C416,2100),Mortalidad_M!$B$2:$BX$2,0))),1)</f>
        <v/>
      </c>
      <c r="E416" s="15">
        <f>1-(1-D416)^(1/12)</f>
        <v/>
      </c>
      <c r="F416" s="16">
        <f>F415*(1-E415)</f>
        <v/>
      </c>
      <c r="G416" s="16">
        <f>1/(1+$C$7)^(A416/12)</f>
        <v/>
      </c>
      <c r="H416" s="16">
        <f>F416*G416</f>
        <v/>
      </c>
    </row>
    <row r="417">
      <c r="A417" s="14" t="n">
        <v>405</v>
      </c>
      <c r="B417">
        <f>$C$5+INT(A417/12)</f>
        <v/>
      </c>
      <c r="C417">
        <f>Parametros!$B$5+INT(A417/12)</f>
        <v/>
      </c>
      <c r="D417" s="15">
        <f>IFERROR(IF($C$4="H",INDEX(Mortalidad_H!$B$3:$BX$113,MATCH(B417,Mortalidad_H!$A$3:$A$113,0),MATCH(MIN(C417,2100),Mortalidad_H!$B$2:$BX$2,0)),INDEX(Mortalidad_M!$B$3:$BX$93,MATCH(B417,Mortalidad_M!$A$3:$A$93,0),MATCH(MIN(C417,2100),Mortalidad_M!$B$2:$BX$2,0))),1)</f>
        <v/>
      </c>
      <c r="E417" s="15">
        <f>1-(1-D417)^(1/12)</f>
        <v/>
      </c>
      <c r="F417" s="16">
        <f>F416*(1-E416)</f>
        <v/>
      </c>
      <c r="G417" s="16">
        <f>1/(1+$C$7)^(A417/12)</f>
        <v/>
      </c>
      <c r="H417" s="16">
        <f>F417*G417</f>
        <v/>
      </c>
    </row>
    <row r="418">
      <c r="A418" s="14" t="n">
        <v>406</v>
      </c>
      <c r="B418">
        <f>$C$5+INT(A418/12)</f>
        <v/>
      </c>
      <c r="C418">
        <f>Parametros!$B$5+INT(A418/12)</f>
        <v/>
      </c>
      <c r="D418" s="15">
        <f>IFERROR(IF($C$4="H",INDEX(Mortalidad_H!$B$3:$BX$113,MATCH(B418,Mortalidad_H!$A$3:$A$113,0),MATCH(MIN(C418,2100),Mortalidad_H!$B$2:$BX$2,0)),INDEX(Mortalidad_M!$B$3:$BX$93,MATCH(B418,Mortalidad_M!$A$3:$A$93,0),MATCH(MIN(C418,2100),Mortalidad_M!$B$2:$BX$2,0))),1)</f>
        <v/>
      </c>
      <c r="E418" s="15">
        <f>1-(1-D418)^(1/12)</f>
        <v/>
      </c>
      <c r="F418" s="16">
        <f>F417*(1-E417)</f>
        <v/>
      </c>
      <c r="G418" s="16">
        <f>1/(1+$C$7)^(A418/12)</f>
        <v/>
      </c>
      <c r="H418" s="16">
        <f>F418*G418</f>
        <v/>
      </c>
    </row>
    <row r="419">
      <c r="A419" s="14" t="n">
        <v>407</v>
      </c>
      <c r="B419">
        <f>$C$5+INT(A419/12)</f>
        <v/>
      </c>
      <c r="C419">
        <f>Parametros!$B$5+INT(A419/12)</f>
        <v/>
      </c>
      <c r="D419" s="15">
        <f>IFERROR(IF($C$4="H",INDEX(Mortalidad_H!$B$3:$BX$113,MATCH(B419,Mortalidad_H!$A$3:$A$113,0),MATCH(MIN(C419,2100),Mortalidad_H!$B$2:$BX$2,0)),INDEX(Mortalidad_M!$B$3:$BX$93,MATCH(B419,Mortalidad_M!$A$3:$A$93,0),MATCH(MIN(C419,2100),Mortalidad_M!$B$2:$BX$2,0))),1)</f>
        <v/>
      </c>
      <c r="E419" s="15">
        <f>1-(1-D419)^(1/12)</f>
        <v/>
      </c>
      <c r="F419" s="16">
        <f>F418*(1-E418)</f>
        <v/>
      </c>
      <c r="G419" s="16">
        <f>1/(1+$C$7)^(A419/12)</f>
        <v/>
      </c>
      <c r="H419" s="16">
        <f>F419*G419</f>
        <v/>
      </c>
    </row>
    <row r="420">
      <c r="A420" s="14" t="n">
        <v>408</v>
      </c>
      <c r="B420">
        <f>$C$5+INT(A420/12)</f>
        <v/>
      </c>
      <c r="C420">
        <f>Parametros!$B$5+INT(A420/12)</f>
        <v/>
      </c>
      <c r="D420" s="15">
        <f>IFERROR(IF($C$4="H",INDEX(Mortalidad_H!$B$3:$BX$113,MATCH(B420,Mortalidad_H!$A$3:$A$113,0),MATCH(MIN(C420,2100),Mortalidad_H!$B$2:$BX$2,0)),INDEX(Mortalidad_M!$B$3:$BX$93,MATCH(B420,Mortalidad_M!$A$3:$A$93,0),MATCH(MIN(C420,2100),Mortalidad_M!$B$2:$BX$2,0))),1)</f>
        <v/>
      </c>
      <c r="E420" s="15">
        <f>1-(1-D420)^(1/12)</f>
        <v/>
      </c>
      <c r="F420" s="16">
        <f>F419*(1-E419)</f>
        <v/>
      </c>
      <c r="G420" s="16">
        <f>1/(1+$C$7)^(A420/12)</f>
        <v/>
      </c>
      <c r="H420" s="16">
        <f>F420*G420</f>
        <v/>
      </c>
    </row>
    <row r="421">
      <c r="A421" s="14" t="n">
        <v>409</v>
      </c>
      <c r="B421">
        <f>$C$5+INT(A421/12)</f>
        <v/>
      </c>
      <c r="C421">
        <f>Parametros!$B$5+INT(A421/12)</f>
        <v/>
      </c>
      <c r="D421" s="15">
        <f>IFERROR(IF($C$4="H",INDEX(Mortalidad_H!$B$3:$BX$113,MATCH(B421,Mortalidad_H!$A$3:$A$113,0),MATCH(MIN(C421,2100),Mortalidad_H!$B$2:$BX$2,0)),INDEX(Mortalidad_M!$B$3:$BX$93,MATCH(B421,Mortalidad_M!$A$3:$A$93,0),MATCH(MIN(C421,2100),Mortalidad_M!$B$2:$BX$2,0))),1)</f>
        <v/>
      </c>
      <c r="E421" s="15">
        <f>1-(1-D421)^(1/12)</f>
        <v/>
      </c>
      <c r="F421" s="16">
        <f>F420*(1-E420)</f>
        <v/>
      </c>
      <c r="G421" s="16">
        <f>1/(1+$C$7)^(A421/12)</f>
        <v/>
      </c>
      <c r="H421" s="16">
        <f>F421*G421</f>
        <v/>
      </c>
    </row>
    <row r="422">
      <c r="A422" s="14" t="n">
        <v>410</v>
      </c>
      <c r="B422">
        <f>$C$5+INT(A422/12)</f>
        <v/>
      </c>
      <c r="C422">
        <f>Parametros!$B$5+INT(A422/12)</f>
        <v/>
      </c>
      <c r="D422" s="15">
        <f>IFERROR(IF($C$4="H",INDEX(Mortalidad_H!$B$3:$BX$113,MATCH(B422,Mortalidad_H!$A$3:$A$113,0),MATCH(MIN(C422,2100),Mortalidad_H!$B$2:$BX$2,0)),INDEX(Mortalidad_M!$B$3:$BX$93,MATCH(B422,Mortalidad_M!$A$3:$A$93,0),MATCH(MIN(C422,2100),Mortalidad_M!$B$2:$BX$2,0))),1)</f>
        <v/>
      </c>
      <c r="E422" s="15">
        <f>1-(1-D422)^(1/12)</f>
        <v/>
      </c>
      <c r="F422" s="16">
        <f>F421*(1-E421)</f>
        <v/>
      </c>
      <c r="G422" s="16">
        <f>1/(1+$C$7)^(A422/12)</f>
        <v/>
      </c>
      <c r="H422" s="16">
        <f>F422*G422</f>
        <v/>
      </c>
    </row>
    <row r="423">
      <c r="A423" s="14" t="n">
        <v>411</v>
      </c>
      <c r="B423">
        <f>$C$5+INT(A423/12)</f>
        <v/>
      </c>
      <c r="C423">
        <f>Parametros!$B$5+INT(A423/12)</f>
        <v/>
      </c>
      <c r="D423" s="15">
        <f>IFERROR(IF($C$4="H",INDEX(Mortalidad_H!$B$3:$BX$113,MATCH(B423,Mortalidad_H!$A$3:$A$113,0),MATCH(MIN(C423,2100),Mortalidad_H!$B$2:$BX$2,0)),INDEX(Mortalidad_M!$B$3:$BX$93,MATCH(B423,Mortalidad_M!$A$3:$A$93,0),MATCH(MIN(C423,2100),Mortalidad_M!$B$2:$BX$2,0))),1)</f>
        <v/>
      </c>
      <c r="E423" s="15">
        <f>1-(1-D423)^(1/12)</f>
        <v/>
      </c>
      <c r="F423" s="16">
        <f>F422*(1-E422)</f>
        <v/>
      </c>
      <c r="G423" s="16">
        <f>1/(1+$C$7)^(A423/12)</f>
        <v/>
      </c>
      <c r="H423" s="16">
        <f>F423*G423</f>
        <v/>
      </c>
    </row>
    <row r="424">
      <c r="A424" s="14" t="n">
        <v>412</v>
      </c>
      <c r="B424">
        <f>$C$5+INT(A424/12)</f>
        <v/>
      </c>
      <c r="C424">
        <f>Parametros!$B$5+INT(A424/12)</f>
        <v/>
      </c>
      <c r="D424" s="15">
        <f>IFERROR(IF($C$4="H",INDEX(Mortalidad_H!$B$3:$BX$113,MATCH(B424,Mortalidad_H!$A$3:$A$113,0),MATCH(MIN(C424,2100),Mortalidad_H!$B$2:$BX$2,0)),INDEX(Mortalidad_M!$B$3:$BX$93,MATCH(B424,Mortalidad_M!$A$3:$A$93,0),MATCH(MIN(C424,2100),Mortalidad_M!$B$2:$BX$2,0))),1)</f>
        <v/>
      </c>
      <c r="E424" s="15">
        <f>1-(1-D424)^(1/12)</f>
        <v/>
      </c>
      <c r="F424" s="16">
        <f>F423*(1-E423)</f>
        <v/>
      </c>
      <c r="G424" s="16">
        <f>1/(1+$C$7)^(A424/12)</f>
        <v/>
      </c>
      <c r="H424" s="16">
        <f>F424*G424</f>
        <v/>
      </c>
    </row>
    <row r="425">
      <c r="A425" s="14" t="n">
        <v>413</v>
      </c>
      <c r="B425">
        <f>$C$5+INT(A425/12)</f>
        <v/>
      </c>
      <c r="C425">
        <f>Parametros!$B$5+INT(A425/12)</f>
        <v/>
      </c>
      <c r="D425" s="15">
        <f>IFERROR(IF($C$4="H",INDEX(Mortalidad_H!$B$3:$BX$113,MATCH(B425,Mortalidad_H!$A$3:$A$113,0),MATCH(MIN(C425,2100),Mortalidad_H!$B$2:$BX$2,0)),INDEX(Mortalidad_M!$B$3:$BX$93,MATCH(B425,Mortalidad_M!$A$3:$A$93,0),MATCH(MIN(C425,2100),Mortalidad_M!$B$2:$BX$2,0))),1)</f>
        <v/>
      </c>
      <c r="E425" s="15">
        <f>1-(1-D425)^(1/12)</f>
        <v/>
      </c>
      <c r="F425" s="16">
        <f>F424*(1-E424)</f>
        <v/>
      </c>
      <c r="G425" s="16">
        <f>1/(1+$C$7)^(A425/12)</f>
        <v/>
      </c>
      <c r="H425" s="16">
        <f>F425*G425</f>
        <v/>
      </c>
    </row>
    <row r="426">
      <c r="A426" s="14" t="n">
        <v>414</v>
      </c>
      <c r="B426">
        <f>$C$5+INT(A426/12)</f>
        <v/>
      </c>
      <c r="C426">
        <f>Parametros!$B$5+INT(A426/12)</f>
        <v/>
      </c>
      <c r="D426" s="15">
        <f>IFERROR(IF($C$4="H",INDEX(Mortalidad_H!$B$3:$BX$113,MATCH(B426,Mortalidad_H!$A$3:$A$113,0),MATCH(MIN(C426,2100),Mortalidad_H!$B$2:$BX$2,0)),INDEX(Mortalidad_M!$B$3:$BX$93,MATCH(B426,Mortalidad_M!$A$3:$A$93,0),MATCH(MIN(C426,2100),Mortalidad_M!$B$2:$BX$2,0))),1)</f>
        <v/>
      </c>
      <c r="E426" s="15">
        <f>1-(1-D426)^(1/12)</f>
        <v/>
      </c>
      <c r="F426" s="16">
        <f>F425*(1-E425)</f>
        <v/>
      </c>
      <c r="G426" s="16">
        <f>1/(1+$C$7)^(A426/12)</f>
        <v/>
      </c>
      <c r="H426" s="16">
        <f>F426*G426</f>
        <v/>
      </c>
    </row>
    <row r="427">
      <c r="A427" s="14" t="n">
        <v>415</v>
      </c>
      <c r="B427">
        <f>$C$5+INT(A427/12)</f>
        <v/>
      </c>
      <c r="C427">
        <f>Parametros!$B$5+INT(A427/12)</f>
        <v/>
      </c>
      <c r="D427" s="15">
        <f>IFERROR(IF($C$4="H",INDEX(Mortalidad_H!$B$3:$BX$113,MATCH(B427,Mortalidad_H!$A$3:$A$113,0),MATCH(MIN(C427,2100),Mortalidad_H!$B$2:$BX$2,0)),INDEX(Mortalidad_M!$B$3:$BX$93,MATCH(B427,Mortalidad_M!$A$3:$A$93,0),MATCH(MIN(C427,2100),Mortalidad_M!$B$2:$BX$2,0))),1)</f>
        <v/>
      </c>
      <c r="E427" s="15">
        <f>1-(1-D427)^(1/12)</f>
        <v/>
      </c>
      <c r="F427" s="16">
        <f>F426*(1-E426)</f>
        <v/>
      </c>
      <c r="G427" s="16">
        <f>1/(1+$C$7)^(A427/12)</f>
        <v/>
      </c>
      <c r="H427" s="16">
        <f>F427*G427</f>
        <v/>
      </c>
    </row>
    <row r="428">
      <c r="A428" s="14" t="n">
        <v>416</v>
      </c>
      <c r="B428">
        <f>$C$5+INT(A428/12)</f>
        <v/>
      </c>
      <c r="C428">
        <f>Parametros!$B$5+INT(A428/12)</f>
        <v/>
      </c>
      <c r="D428" s="15">
        <f>IFERROR(IF($C$4="H",INDEX(Mortalidad_H!$B$3:$BX$113,MATCH(B428,Mortalidad_H!$A$3:$A$113,0),MATCH(MIN(C428,2100),Mortalidad_H!$B$2:$BX$2,0)),INDEX(Mortalidad_M!$B$3:$BX$93,MATCH(B428,Mortalidad_M!$A$3:$A$93,0),MATCH(MIN(C428,2100),Mortalidad_M!$B$2:$BX$2,0))),1)</f>
        <v/>
      </c>
      <c r="E428" s="15">
        <f>1-(1-D428)^(1/12)</f>
        <v/>
      </c>
      <c r="F428" s="16">
        <f>F427*(1-E427)</f>
        <v/>
      </c>
      <c r="G428" s="16">
        <f>1/(1+$C$7)^(A428/12)</f>
        <v/>
      </c>
      <c r="H428" s="16">
        <f>F428*G428</f>
        <v/>
      </c>
    </row>
    <row r="429">
      <c r="A429" s="14" t="n">
        <v>417</v>
      </c>
      <c r="B429">
        <f>$C$5+INT(A429/12)</f>
        <v/>
      </c>
      <c r="C429">
        <f>Parametros!$B$5+INT(A429/12)</f>
        <v/>
      </c>
      <c r="D429" s="15">
        <f>IFERROR(IF($C$4="H",INDEX(Mortalidad_H!$B$3:$BX$113,MATCH(B429,Mortalidad_H!$A$3:$A$113,0),MATCH(MIN(C429,2100),Mortalidad_H!$B$2:$BX$2,0)),INDEX(Mortalidad_M!$B$3:$BX$93,MATCH(B429,Mortalidad_M!$A$3:$A$93,0),MATCH(MIN(C429,2100),Mortalidad_M!$B$2:$BX$2,0))),1)</f>
        <v/>
      </c>
      <c r="E429" s="15">
        <f>1-(1-D429)^(1/12)</f>
        <v/>
      </c>
      <c r="F429" s="16">
        <f>F428*(1-E428)</f>
        <v/>
      </c>
      <c r="G429" s="16">
        <f>1/(1+$C$7)^(A429/12)</f>
        <v/>
      </c>
      <c r="H429" s="16">
        <f>F429*G429</f>
        <v/>
      </c>
    </row>
    <row r="430">
      <c r="A430" s="14" t="n">
        <v>418</v>
      </c>
      <c r="B430">
        <f>$C$5+INT(A430/12)</f>
        <v/>
      </c>
      <c r="C430">
        <f>Parametros!$B$5+INT(A430/12)</f>
        <v/>
      </c>
      <c r="D430" s="15">
        <f>IFERROR(IF($C$4="H",INDEX(Mortalidad_H!$B$3:$BX$113,MATCH(B430,Mortalidad_H!$A$3:$A$113,0),MATCH(MIN(C430,2100),Mortalidad_H!$B$2:$BX$2,0)),INDEX(Mortalidad_M!$B$3:$BX$93,MATCH(B430,Mortalidad_M!$A$3:$A$93,0),MATCH(MIN(C430,2100),Mortalidad_M!$B$2:$BX$2,0))),1)</f>
        <v/>
      </c>
      <c r="E430" s="15">
        <f>1-(1-D430)^(1/12)</f>
        <v/>
      </c>
      <c r="F430" s="16">
        <f>F429*(1-E429)</f>
        <v/>
      </c>
      <c r="G430" s="16">
        <f>1/(1+$C$7)^(A430/12)</f>
        <v/>
      </c>
      <c r="H430" s="16">
        <f>F430*G430</f>
        <v/>
      </c>
    </row>
    <row r="431">
      <c r="A431" s="14" t="n">
        <v>419</v>
      </c>
      <c r="B431">
        <f>$C$5+INT(A431/12)</f>
        <v/>
      </c>
      <c r="C431">
        <f>Parametros!$B$5+INT(A431/12)</f>
        <v/>
      </c>
      <c r="D431" s="15">
        <f>IFERROR(IF($C$4="H",INDEX(Mortalidad_H!$B$3:$BX$113,MATCH(B431,Mortalidad_H!$A$3:$A$113,0),MATCH(MIN(C431,2100),Mortalidad_H!$B$2:$BX$2,0)),INDEX(Mortalidad_M!$B$3:$BX$93,MATCH(B431,Mortalidad_M!$A$3:$A$93,0),MATCH(MIN(C431,2100),Mortalidad_M!$B$2:$BX$2,0))),1)</f>
        <v/>
      </c>
      <c r="E431" s="15">
        <f>1-(1-D431)^(1/12)</f>
        <v/>
      </c>
      <c r="F431" s="16">
        <f>F430*(1-E430)</f>
        <v/>
      </c>
      <c r="G431" s="16">
        <f>1/(1+$C$7)^(A431/12)</f>
        <v/>
      </c>
      <c r="H431" s="16">
        <f>F431*G431</f>
        <v/>
      </c>
    </row>
    <row r="432">
      <c r="A432" s="14" t="n">
        <v>420</v>
      </c>
      <c r="B432">
        <f>$C$5+INT(A432/12)</f>
        <v/>
      </c>
      <c r="C432">
        <f>Parametros!$B$5+INT(A432/12)</f>
        <v/>
      </c>
      <c r="D432" s="15">
        <f>IFERROR(IF($C$4="H",INDEX(Mortalidad_H!$B$3:$BX$113,MATCH(B432,Mortalidad_H!$A$3:$A$113,0),MATCH(MIN(C432,2100),Mortalidad_H!$B$2:$BX$2,0)),INDEX(Mortalidad_M!$B$3:$BX$93,MATCH(B432,Mortalidad_M!$A$3:$A$93,0),MATCH(MIN(C432,2100),Mortalidad_M!$B$2:$BX$2,0))),1)</f>
        <v/>
      </c>
      <c r="E432" s="15">
        <f>1-(1-D432)^(1/12)</f>
        <v/>
      </c>
      <c r="F432" s="16">
        <f>F431*(1-E431)</f>
        <v/>
      </c>
      <c r="G432" s="16">
        <f>1/(1+$C$7)^(A432/12)</f>
        <v/>
      </c>
      <c r="H432" s="16">
        <f>F432*G432</f>
        <v/>
      </c>
    </row>
    <row r="433">
      <c r="A433" s="14" t="n">
        <v>421</v>
      </c>
      <c r="B433">
        <f>$C$5+INT(A433/12)</f>
        <v/>
      </c>
      <c r="C433">
        <f>Parametros!$B$5+INT(A433/12)</f>
        <v/>
      </c>
      <c r="D433" s="15">
        <f>IFERROR(IF($C$4="H",INDEX(Mortalidad_H!$B$3:$BX$113,MATCH(B433,Mortalidad_H!$A$3:$A$113,0),MATCH(MIN(C433,2100),Mortalidad_H!$B$2:$BX$2,0)),INDEX(Mortalidad_M!$B$3:$BX$93,MATCH(B433,Mortalidad_M!$A$3:$A$93,0),MATCH(MIN(C433,2100),Mortalidad_M!$B$2:$BX$2,0))),1)</f>
        <v/>
      </c>
      <c r="E433" s="15">
        <f>1-(1-D433)^(1/12)</f>
        <v/>
      </c>
      <c r="F433" s="16">
        <f>F432*(1-E432)</f>
        <v/>
      </c>
      <c r="G433" s="16">
        <f>1/(1+$C$7)^(A433/12)</f>
        <v/>
      </c>
      <c r="H433" s="16">
        <f>F433*G433</f>
        <v/>
      </c>
    </row>
    <row r="434">
      <c r="A434" s="14" t="n">
        <v>422</v>
      </c>
      <c r="B434">
        <f>$C$5+INT(A434/12)</f>
        <v/>
      </c>
      <c r="C434">
        <f>Parametros!$B$5+INT(A434/12)</f>
        <v/>
      </c>
      <c r="D434" s="15">
        <f>IFERROR(IF($C$4="H",INDEX(Mortalidad_H!$B$3:$BX$113,MATCH(B434,Mortalidad_H!$A$3:$A$113,0),MATCH(MIN(C434,2100),Mortalidad_H!$B$2:$BX$2,0)),INDEX(Mortalidad_M!$B$3:$BX$93,MATCH(B434,Mortalidad_M!$A$3:$A$93,0),MATCH(MIN(C434,2100),Mortalidad_M!$B$2:$BX$2,0))),1)</f>
        <v/>
      </c>
      <c r="E434" s="15">
        <f>1-(1-D434)^(1/12)</f>
        <v/>
      </c>
      <c r="F434" s="16">
        <f>F433*(1-E433)</f>
        <v/>
      </c>
      <c r="G434" s="16">
        <f>1/(1+$C$7)^(A434/12)</f>
        <v/>
      </c>
      <c r="H434" s="16">
        <f>F434*G434</f>
        <v/>
      </c>
    </row>
    <row r="435">
      <c r="A435" s="14" t="n">
        <v>423</v>
      </c>
      <c r="B435">
        <f>$C$5+INT(A435/12)</f>
        <v/>
      </c>
      <c r="C435">
        <f>Parametros!$B$5+INT(A435/12)</f>
        <v/>
      </c>
      <c r="D435" s="15">
        <f>IFERROR(IF($C$4="H",INDEX(Mortalidad_H!$B$3:$BX$113,MATCH(B435,Mortalidad_H!$A$3:$A$113,0),MATCH(MIN(C435,2100),Mortalidad_H!$B$2:$BX$2,0)),INDEX(Mortalidad_M!$B$3:$BX$93,MATCH(B435,Mortalidad_M!$A$3:$A$93,0),MATCH(MIN(C435,2100),Mortalidad_M!$B$2:$BX$2,0))),1)</f>
        <v/>
      </c>
      <c r="E435" s="15">
        <f>1-(1-D435)^(1/12)</f>
        <v/>
      </c>
      <c r="F435" s="16">
        <f>F434*(1-E434)</f>
        <v/>
      </c>
      <c r="G435" s="16">
        <f>1/(1+$C$7)^(A435/12)</f>
        <v/>
      </c>
      <c r="H435" s="16">
        <f>F435*G435</f>
        <v/>
      </c>
    </row>
    <row r="436">
      <c r="A436" s="14" t="n">
        <v>424</v>
      </c>
      <c r="B436">
        <f>$C$5+INT(A436/12)</f>
        <v/>
      </c>
      <c r="C436">
        <f>Parametros!$B$5+INT(A436/12)</f>
        <v/>
      </c>
      <c r="D436" s="15">
        <f>IFERROR(IF($C$4="H",INDEX(Mortalidad_H!$B$3:$BX$113,MATCH(B436,Mortalidad_H!$A$3:$A$113,0),MATCH(MIN(C436,2100),Mortalidad_H!$B$2:$BX$2,0)),INDEX(Mortalidad_M!$B$3:$BX$93,MATCH(B436,Mortalidad_M!$A$3:$A$93,0),MATCH(MIN(C436,2100),Mortalidad_M!$B$2:$BX$2,0))),1)</f>
        <v/>
      </c>
      <c r="E436" s="15">
        <f>1-(1-D436)^(1/12)</f>
        <v/>
      </c>
      <c r="F436" s="16">
        <f>F435*(1-E435)</f>
        <v/>
      </c>
      <c r="G436" s="16">
        <f>1/(1+$C$7)^(A436/12)</f>
        <v/>
      </c>
      <c r="H436" s="16">
        <f>F436*G436</f>
        <v/>
      </c>
    </row>
    <row r="437">
      <c r="A437" s="14" t="n">
        <v>425</v>
      </c>
      <c r="B437">
        <f>$C$5+INT(A437/12)</f>
        <v/>
      </c>
      <c r="C437">
        <f>Parametros!$B$5+INT(A437/12)</f>
        <v/>
      </c>
      <c r="D437" s="15">
        <f>IFERROR(IF($C$4="H",INDEX(Mortalidad_H!$B$3:$BX$113,MATCH(B437,Mortalidad_H!$A$3:$A$113,0),MATCH(MIN(C437,2100),Mortalidad_H!$B$2:$BX$2,0)),INDEX(Mortalidad_M!$B$3:$BX$93,MATCH(B437,Mortalidad_M!$A$3:$A$93,0),MATCH(MIN(C437,2100),Mortalidad_M!$B$2:$BX$2,0))),1)</f>
        <v/>
      </c>
      <c r="E437" s="15">
        <f>1-(1-D437)^(1/12)</f>
        <v/>
      </c>
      <c r="F437" s="16">
        <f>F436*(1-E436)</f>
        <v/>
      </c>
      <c r="G437" s="16">
        <f>1/(1+$C$7)^(A437/12)</f>
        <v/>
      </c>
      <c r="H437" s="16">
        <f>F437*G437</f>
        <v/>
      </c>
    </row>
    <row r="438">
      <c r="A438" s="14" t="n">
        <v>426</v>
      </c>
      <c r="B438">
        <f>$C$5+INT(A438/12)</f>
        <v/>
      </c>
      <c r="C438">
        <f>Parametros!$B$5+INT(A438/12)</f>
        <v/>
      </c>
      <c r="D438" s="15">
        <f>IFERROR(IF($C$4="H",INDEX(Mortalidad_H!$B$3:$BX$113,MATCH(B438,Mortalidad_H!$A$3:$A$113,0),MATCH(MIN(C438,2100),Mortalidad_H!$B$2:$BX$2,0)),INDEX(Mortalidad_M!$B$3:$BX$93,MATCH(B438,Mortalidad_M!$A$3:$A$93,0),MATCH(MIN(C438,2100),Mortalidad_M!$B$2:$BX$2,0))),1)</f>
        <v/>
      </c>
      <c r="E438" s="15">
        <f>1-(1-D438)^(1/12)</f>
        <v/>
      </c>
      <c r="F438" s="16">
        <f>F437*(1-E437)</f>
        <v/>
      </c>
      <c r="G438" s="16">
        <f>1/(1+$C$7)^(A438/12)</f>
        <v/>
      </c>
      <c r="H438" s="16">
        <f>F438*G438</f>
        <v/>
      </c>
    </row>
    <row r="439">
      <c r="A439" s="14" t="n">
        <v>427</v>
      </c>
      <c r="B439">
        <f>$C$5+INT(A439/12)</f>
        <v/>
      </c>
      <c r="C439">
        <f>Parametros!$B$5+INT(A439/12)</f>
        <v/>
      </c>
      <c r="D439" s="15">
        <f>IFERROR(IF($C$4="H",INDEX(Mortalidad_H!$B$3:$BX$113,MATCH(B439,Mortalidad_H!$A$3:$A$113,0),MATCH(MIN(C439,2100),Mortalidad_H!$B$2:$BX$2,0)),INDEX(Mortalidad_M!$B$3:$BX$93,MATCH(B439,Mortalidad_M!$A$3:$A$93,0),MATCH(MIN(C439,2100),Mortalidad_M!$B$2:$BX$2,0))),1)</f>
        <v/>
      </c>
      <c r="E439" s="15">
        <f>1-(1-D439)^(1/12)</f>
        <v/>
      </c>
      <c r="F439" s="16">
        <f>F438*(1-E438)</f>
        <v/>
      </c>
      <c r="G439" s="16">
        <f>1/(1+$C$7)^(A439/12)</f>
        <v/>
      </c>
      <c r="H439" s="16">
        <f>F439*G439</f>
        <v/>
      </c>
    </row>
    <row r="440">
      <c r="A440" s="14" t="n">
        <v>428</v>
      </c>
      <c r="B440">
        <f>$C$5+INT(A440/12)</f>
        <v/>
      </c>
      <c r="C440">
        <f>Parametros!$B$5+INT(A440/12)</f>
        <v/>
      </c>
      <c r="D440" s="15">
        <f>IFERROR(IF($C$4="H",INDEX(Mortalidad_H!$B$3:$BX$113,MATCH(B440,Mortalidad_H!$A$3:$A$113,0),MATCH(MIN(C440,2100),Mortalidad_H!$B$2:$BX$2,0)),INDEX(Mortalidad_M!$B$3:$BX$93,MATCH(B440,Mortalidad_M!$A$3:$A$93,0),MATCH(MIN(C440,2100),Mortalidad_M!$B$2:$BX$2,0))),1)</f>
        <v/>
      </c>
      <c r="E440" s="15">
        <f>1-(1-D440)^(1/12)</f>
        <v/>
      </c>
      <c r="F440" s="16">
        <f>F439*(1-E439)</f>
        <v/>
      </c>
      <c r="G440" s="16">
        <f>1/(1+$C$7)^(A440/12)</f>
        <v/>
      </c>
      <c r="H440" s="16">
        <f>F440*G440</f>
        <v/>
      </c>
    </row>
    <row r="441">
      <c r="A441" s="14" t="n">
        <v>429</v>
      </c>
      <c r="B441">
        <f>$C$5+INT(A441/12)</f>
        <v/>
      </c>
      <c r="C441">
        <f>Parametros!$B$5+INT(A441/12)</f>
        <v/>
      </c>
      <c r="D441" s="15">
        <f>IFERROR(IF($C$4="H",INDEX(Mortalidad_H!$B$3:$BX$113,MATCH(B441,Mortalidad_H!$A$3:$A$113,0),MATCH(MIN(C441,2100),Mortalidad_H!$B$2:$BX$2,0)),INDEX(Mortalidad_M!$B$3:$BX$93,MATCH(B441,Mortalidad_M!$A$3:$A$93,0),MATCH(MIN(C441,2100),Mortalidad_M!$B$2:$BX$2,0))),1)</f>
        <v/>
      </c>
      <c r="E441" s="15">
        <f>1-(1-D441)^(1/12)</f>
        <v/>
      </c>
      <c r="F441" s="16">
        <f>F440*(1-E440)</f>
        <v/>
      </c>
      <c r="G441" s="16">
        <f>1/(1+$C$7)^(A441/12)</f>
        <v/>
      </c>
      <c r="H441" s="16">
        <f>F441*G441</f>
        <v/>
      </c>
    </row>
    <row r="442">
      <c r="A442" s="14" t="n">
        <v>430</v>
      </c>
      <c r="B442">
        <f>$C$5+INT(A442/12)</f>
        <v/>
      </c>
      <c r="C442">
        <f>Parametros!$B$5+INT(A442/12)</f>
        <v/>
      </c>
      <c r="D442" s="15">
        <f>IFERROR(IF($C$4="H",INDEX(Mortalidad_H!$B$3:$BX$113,MATCH(B442,Mortalidad_H!$A$3:$A$113,0),MATCH(MIN(C442,2100),Mortalidad_H!$B$2:$BX$2,0)),INDEX(Mortalidad_M!$B$3:$BX$93,MATCH(B442,Mortalidad_M!$A$3:$A$93,0),MATCH(MIN(C442,2100),Mortalidad_M!$B$2:$BX$2,0))),1)</f>
        <v/>
      </c>
      <c r="E442" s="15">
        <f>1-(1-D442)^(1/12)</f>
        <v/>
      </c>
      <c r="F442" s="16">
        <f>F441*(1-E441)</f>
        <v/>
      </c>
      <c r="G442" s="16">
        <f>1/(1+$C$7)^(A442/12)</f>
        <v/>
      </c>
      <c r="H442" s="16">
        <f>F442*G442</f>
        <v/>
      </c>
    </row>
    <row r="443">
      <c r="A443" s="14" t="n">
        <v>431</v>
      </c>
      <c r="B443">
        <f>$C$5+INT(A443/12)</f>
        <v/>
      </c>
      <c r="C443">
        <f>Parametros!$B$5+INT(A443/12)</f>
        <v/>
      </c>
      <c r="D443" s="15">
        <f>IFERROR(IF($C$4="H",INDEX(Mortalidad_H!$B$3:$BX$113,MATCH(B443,Mortalidad_H!$A$3:$A$113,0),MATCH(MIN(C443,2100),Mortalidad_H!$B$2:$BX$2,0)),INDEX(Mortalidad_M!$B$3:$BX$93,MATCH(B443,Mortalidad_M!$A$3:$A$93,0),MATCH(MIN(C443,2100),Mortalidad_M!$B$2:$BX$2,0))),1)</f>
        <v/>
      </c>
      <c r="E443" s="15">
        <f>1-(1-D443)^(1/12)</f>
        <v/>
      </c>
      <c r="F443" s="16">
        <f>F442*(1-E442)</f>
        <v/>
      </c>
      <c r="G443" s="16">
        <f>1/(1+$C$7)^(A443/12)</f>
        <v/>
      </c>
      <c r="H443" s="16">
        <f>F443*G443</f>
        <v/>
      </c>
    </row>
    <row r="444">
      <c r="A444" s="14" t="n">
        <v>432</v>
      </c>
      <c r="B444">
        <f>$C$5+INT(A444/12)</f>
        <v/>
      </c>
      <c r="C444">
        <f>Parametros!$B$5+INT(A444/12)</f>
        <v/>
      </c>
      <c r="D444" s="15">
        <f>IFERROR(IF($C$4="H",INDEX(Mortalidad_H!$B$3:$BX$113,MATCH(B444,Mortalidad_H!$A$3:$A$113,0),MATCH(MIN(C444,2100),Mortalidad_H!$B$2:$BX$2,0)),INDEX(Mortalidad_M!$B$3:$BX$93,MATCH(B444,Mortalidad_M!$A$3:$A$93,0),MATCH(MIN(C444,2100),Mortalidad_M!$B$2:$BX$2,0))),1)</f>
        <v/>
      </c>
      <c r="E444" s="15">
        <f>1-(1-D444)^(1/12)</f>
        <v/>
      </c>
      <c r="F444" s="16">
        <f>F443*(1-E443)</f>
        <v/>
      </c>
      <c r="G444" s="16">
        <f>1/(1+$C$7)^(A444/12)</f>
        <v/>
      </c>
      <c r="H444" s="16">
        <f>F444*G444</f>
        <v/>
      </c>
    </row>
    <row r="445">
      <c r="A445" s="14" t="n">
        <v>433</v>
      </c>
      <c r="B445">
        <f>$C$5+INT(A445/12)</f>
        <v/>
      </c>
      <c r="C445">
        <f>Parametros!$B$5+INT(A445/12)</f>
        <v/>
      </c>
      <c r="D445" s="15">
        <f>IFERROR(IF($C$4="H",INDEX(Mortalidad_H!$B$3:$BX$113,MATCH(B445,Mortalidad_H!$A$3:$A$113,0),MATCH(MIN(C445,2100),Mortalidad_H!$B$2:$BX$2,0)),INDEX(Mortalidad_M!$B$3:$BX$93,MATCH(B445,Mortalidad_M!$A$3:$A$93,0),MATCH(MIN(C445,2100),Mortalidad_M!$B$2:$BX$2,0))),1)</f>
        <v/>
      </c>
      <c r="E445" s="15">
        <f>1-(1-D445)^(1/12)</f>
        <v/>
      </c>
      <c r="F445" s="16">
        <f>F444*(1-E444)</f>
        <v/>
      </c>
      <c r="G445" s="16">
        <f>1/(1+$C$7)^(A445/12)</f>
        <v/>
      </c>
      <c r="H445" s="16">
        <f>F445*G445</f>
        <v/>
      </c>
    </row>
    <row r="446">
      <c r="A446" s="14" t="n">
        <v>434</v>
      </c>
      <c r="B446">
        <f>$C$5+INT(A446/12)</f>
        <v/>
      </c>
      <c r="C446">
        <f>Parametros!$B$5+INT(A446/12)</f>
        <v/>
      </c>
      <c r="D446" s="15">
        <f>IFERROR(IF($C$4="H",INDEX(Mortalidad_H!$B$3:$BX$113,MATCH(B446,Mortalidad_H!$A$3:$A$113,0),MATCH(MIN(C446,2100),Mortalidad_H!$B$2:$BX$2,0)),INDEX(Mortalidad_M!$B$3:$BX$93,MATCH(B446,Mortalidad_M!$A$3:$A$93,0),MATCH(MIN(C446,2100),Mortalidad_M!$B$2:$BX$2,0))),1)</f>
        <v/>
      </c>
      <c r="E446" s="15">
        <f>1-(1-D446)^(1/12)</f>
        <v/>
      </c>
      <c r="F446" s="16">
        <f>F445*(1-E445)</f>
        <v/>
      </c>
      <c r="G446" s="16">
        <f>1/(1+$C$7)^(A446/12)</f>
        <v/>
      </c>
      <c r="H446" s="16">
        <f>F446*G446</f>
        <v/>
      </c>
    </row>
    <row r="447">
      <c r="A447" s="14" t="n">
        <v>435</v>
      </c>
      <c r="B447">
        <f>$C$5+INT(A447/12)</f>
        <v/>
      </c>
      <c r="C447">
        <f>Parametros!$B$5+INT(A447/12)</f>
        <v/>
      </c>
      <c r="D447" s="15">
        <f>IFERROR(IF($C$4="H",INDEX(Mortalidad_H!$B$3:$BX$113,MATCH(B447,Mortalidad_H!$A$3:$A$113,0),MATCH(MIN(C447,2100),Mortalidad_H!$B$2:$BX$2,0)),INDEX(Mortalidad_M!$B$3:$BX$93,MATCH(B447,Mortalidad_M!$A$3:$A$93,0),MATCH(MIN(C447,2100),Mortalidad_M!$B$2:$BX$2,0))),1)</f>
        <v/>
      </c>
      <c r="E447" s="15">
        <f>1-(1-D447)^(1/12)</f>
        <v/>
      </c>
      <c r="F447" s="16">
        <f>F446*(1-E446)</f>
        <v/>
      </c>
      <c r="G447" s="16">
        <f>1/(1+$C$7)^(A447/12)</f>
        <v/>
      </c>
      <c r="H447" s="16">
        <f>F447*G447</f>
        <v/>
      </c>
    </row>
    <row r="448">
      <c r="A448" s="14" t="n">
        <v>436</v>
      </c>
      <c r="B448">
        <f>$C$5+INT(A448/12)</f>
        <v/>
      </c>
      <c r="C448">
        <f>Parametros!$B$5+INT(A448/12)</f>
        <v/>
      </c>
      <c r="D448" s="15">
        <f>IFERROR(IF($C$4="H",INDEX(Mortalidad_H!$B$3:$BX$113,MATCH(B448,Mortalidad_H!$A$3:$A$113,0),MATCH(MIN(C448,2100),Mortalidad_H!$B$2:$BX$2,0)),INDEX(Mortalidad_M!$B$3:$BX$93,MATCH(B448,Mortalidad_M!$A$3:$A$93,0),MATCH(MIN(C448,2100),Mortalidad_M!$B$2:$BX$2,0))),1)</f>
        <v/>
      </c>
      <c r="E448" s="15">
        <f>1-(1-D448)^(1/12)</f>
        <v/>
      </c>
      <c r="F448" s="16">
        <f>F447*(1-E447)</f>
        <v/>
      </c>
      <c r="G448" s="16">
        <f>1/(1+$C$7)^(A448/12)</f>
        <v/>
      </c>
      <c r="H448" s="16">
        <f>F448*G448</f>
        <v/>
      </c>
    </row>
    <row r="449">
      <c r="A449" s="14" t="n">
        <v>437</v>
      </c>
      <c r="B449">
        <f>$C$5+INT(A449/12)</f>
        <v/>
      </c>
      <c r="C449">
        <f>Parametros!$B$5+INT(A449/12)</f>
        <v/>
      </c>
      <c r="D449" s="15">
        <f>IFERROR(IF($C$4="H",INDEX(Mortalidad_H!$B$3:$BX$113,MATCH(B449,Mortalidad_H!$A$3:$A$113,0),MATCH(MIN(C449,2100),Mortalidad_H!$B$2:$BX$2,0)),INDEX(Mortalidad_M!$B$3:$BX$93,MATCH(B449,Mortalidad_M!$A$3:$A$93,0),MATCH(MIN(C449,2100),Mortalidad_M!$B$2:$BX$2,0))),1)</f>
        <v/>
      </c>
      <c r="E449" s="15">
        <f>1-(1-D449)^(1/12)</f>
        <v/>
      </c>
      <c r="F449" s="16">
        <f>F448*(1-E448)</f>
        <v/>
      </c>
      <c r="G449" s="16">
        <f>1/(1+$C$7)^(A449/12)</f>
        <v/>
      </c>
      <c r="H449" s="16">
        <f>F449*G449</f>
        <v/>
      </c>
    </row>
    <row r="450">
      <c r="A450" s="14" t="n">
        <v>438</v>
      </c>
      <c r="B450">
        <f>$C$5+INT(A450/12)</f>
        <v/>
      </c>
      <c r="C450">
        <f>Parametros!$B$5+INT(A450/12)</f>
        <v/>
      </c>
      <c r="D450" s="15">
        <f>IFERROR(IF($C$4="H",INDEX(Mortalidad_H!$B$3:$BX$113,MATCH(B450,Mortalidad_H!$A$3:$A$113,0),MATCH(MIN(C450,2100),Mortalidad_H!$B$2:$BX$2,0)),INDEX(Mortalidad_M!$B$3:$BX$93,MATCH(B450,Mortalidad_M!$A$3:$A$93,0),MATCH(MIN(C450,2100),Mortalidad_M!$B$2:$BX$2,0))),1)</f>
        <v/>
      </c>
      <c r="E450" s="15">
        <f>1-(1-D450)^(1/12)</f>
        <v/>
      </c>
      <c r="F450" s="16">
        <f>F449*(1-E449)</f>
        <v/>
      </c>
      <c r="G450" s="16">
        <f>1/(1+$C$7)^(A450/12)</f>
        <v/>
      </c>
      <c r="H450" s="16">
        <f>F450*G450</f>
        <v/>
      </c>
    </row>
    <row r="451">
      <c r="A451" s="14" t="n">
        <v>439</v>
      </c>
      <c r="B451">
        <f>$C$5+INT(A451/12)</f>
        <v/>
      </c>
      <c r="C451">
        <f>Parametros!$B$5+INT(A451/12)</f>
        <v/>
      </c>
      <c r="D451" s="15">
        <f>IFERROR(IF($C$4="H",INDEX(Mortalidad_H!$B$3:$BX$113,MATCH(B451,Mortalidad_H!$A$3:$A$113,0),MATCH(MIN(C451,2100),Mortalidad_H!$B$2:$BX$2,0)),INDEX(Mortalidad_M!$B$3:$BX$93,MATCH(B451,Mortalidad_M!$A$3:$A$93,0),MATCH(MIN(C451,2100),Mortalidad_M!$B$2:$BX$2,0))),1)</f>
        <v/>
      </c>
      <c r="E451" s="15">
        <f>1-(1-D451)^(1/12)</f>
        <v/>
      </c>
      <c r="F451" s="16">
        <f>F450*(1-E450)</f>
        <v/>
      </c>
      <c r="G451" s="16">
        <f>1/(1+$C$7)^(A451/12)</f>
        <v/>
      </c>
      <c r="H451" s="16">
        <f>F451*G451</f>
        <v/>
      </c>
    </row>
    <row r="452">
      <c r="A452" s="14" t="n">
        <v>440</v>
      </c>
      <c r="B452">
        <f>$C$5+INT(A452/12)</f>
        <v/>
      </c>
      <c r="C452">
        <f>Parametros!$B$5+INT(A452/12)</f>
        <v/>
      </c>
      <c r="D452" s="15">
        <f>IFERROR(IF($C$4="H",INDEX(Mortalidad_H!$B$3:$BX$113,MATCH(B452,Mortalidad_H!$A$3:$A$113,0),MATCH(MIN(C452,2100),Mortalidad_H!$B$2:$BX$2,0)),INDEX(Mortalidad_M!$B$3:$BX$93,MATCH(B452,Mortalidad_M!$A$3:$A$93,0),MATCH(MIN(C452,2100),Mortalidad_M!$B$2:$BX$2,0))),1)</f>
        <v/>
      </c>
      <c r="E452" s="15">
        <f>1-(1-D452)^(1/12)</f>
        <v/>
      </c>
      <c r="F452" s="16">
        <f>F451*(1-E451)</f>
        <v/>
      </c>
      <c r="G452" s="16">
        <f>1/(1+$C$7)^(A452/12)</f>
        <v/>
      </c>
      <c r="H452" s="16">
        <f>F452*G452</f>
        <v/>
      </c>
    </row>
    <row r="453">
      <c r="A453" s="14" t="n">
        <v>441</v>
      </c>
      <c r="B453">
        <f>$C$5+INT(A453/12)</f>
        <v/>
      </c>
      <c r="C453">
        <f>Parametros!$B$5+INT(A453/12)</f>
        <v/>
      </c>
      <c r="D453" s="15">
        <f>IFERROR(IF($C$4="H",INDEX(Mortalidad_H!$B$3:$BX$113,MATCH(B453,Mortalidad_H!$A$3:$A$113,0),MATCH(MIN(C453,2100),Mortalidad_H!$B$2:$BX$2,0)),INDEX(Mortalidad_M!$B$3:$BX$93,MATCH(B453,Mortalidad_M!$A$3:$A$93,0),MATCH(MIN(C453,2100),Mortalidad_M!$B$2:$BX$2,0))),1)</f>
        <v/>
      </c>
      <c r="E453" s="15">
        <f>1-(1-D453)^(1/12)</f>
        <v/>
      </c>
      <c r="F453" s="16">
        <f>F452*(1-E452)</f>
        <v/>
      </c>
      <c r="G453" s="16">
        <f>1/(1+$C$7)^(A453/12)</f>
        <v/>
      </c>
      <c r="H453" s="16">
        <f>F453*G453</f>
        <v/>
      </c>
    </row>
    <row r="454">
      <c r="A454" s="14" t="n">
        <v>442</v>
      </c>
      <c r="B454">
        <f>$C$5+INT(A454/12)</f>
        <v/>
      </c>
      <c r="C454">
        <f>Parametros!$B$5+INT(A454/12)</f>
        <v/>
      </c>
      <c r="D454" s="15">
        <f>IFERROR(IF($C$4="H",INDEX(Mortalidad_H!$B$3:$BX$113,MATCH(B454,Mortalidad_H!$A$3:$A$113,0),MATCH(MIN(C454,2100),Mortalidad_H!$B$2:$BX$2,0)),INDEX(Mortalidad_M!$B$3:$BX$93,MATCH(B454,Mortalidad_M!$A$3:$A$93,0),MATCH(MIN(C454,2100),Mortalidad_M!$B$2:$BX$2,0))),1)</f>
        <v/>
      </c>
      <c r="E454" s="15">
        <f>1-(1-D454)^(1/12)</f>
        <v/>
      </c>
      <c r="F454" s="16">
        <f>F453*(1-E453)</f>
        <v/>
      </c>
      <c r="G454" s="16">
        <f>1/(1+$C$7)^(A454/12)</f>
        <v/>
      </c>
      <c r="H454" s="16">
        <f>F454*G454</f>
        <v/>
      </c>
    </row>
    <row r="455">
      <c r="A455" s="14" t="n">
        <v>443</v>
      </c>
      <c r="B455">
        <f>$C$5+INT(A455/12)</f>
        <v/>
      </c>
      <c r="C455">
        <f>Parametros!$B$5+INT(A455/12)</f>
        <v/>
      </c>
      <c r="D455" s="15">
        <f>IFERROR(IF($C$4="H",INDEX(Mortalidad_H!$B$3:$BX$113,MATCH(B455,Mortalidad_H!$A$3:$A$113,0),MATCH(MIN(C455,2100),Mortalidad_H!$B$2:$BX$2,0)),INDEX(Mortalidad_M!$B$3:$BX$93,MATCH(B455,Mortalidad_M!$A$3:$A$93,0),MATCH(MIN(C455,2100),Mortalidad_M!$B$2:$BX$2,0))),1)</f>
        <v/>
      </c>
      <c r="E455" s="15">
        <f>1-(1-D455)^(1/12)</f>
        <v/>
      </c>
      <c r="F455" s="16">
        <f>F454*(1-E454)</f>
        <v/>
      </c>
      <c r="G455" s="16">
        <f>1/(1+$C$7)^(A455/12)</f>
        <v/>
      </c>
      <c r="H455" s="16">
        <f>F455*G455</f>
        <v/>
      </c>
    </row>
    <row r="456">
      <c r="A456" s="14" t="n">
        <v>444</v>
      </c>
      <c r="B456">
        <f>$C$5+INT(A456/12)</f>
        <v/>
      </c>
      <c r="C456">
        <f>Parametros!$B$5+INT(A456/12)</f>
        <v/>
      </c>
      <c r="D456" s="15">
        <f>IFERROR(IF($C$4="H",INDEX(Mortalidad_H!$B$3:$BX$113,MATCH(B456,Mortalidad_H!$A$3:$A$113,0),MATCH(MIN(C456,2100),Mortalidad_H!$B$2:$BX$2,0)),INDEX(Mortalidad_M!$B$3:$BX$93,MATCH(B456,Mortalidad_M!$A$3:$A$93,0),MATCH(MIN(C456,2100),Mortalidad_M!$B$2:$BX$2,0))),1)</f>
        <v/>
      </c>
      <c r="E456" s="15">
        <f>1-(1-D456)^(1/12)</f>
        <v/>
      </c>
      <c r="F456" s="16">
        <f>F455*(1-E455)</f>
        <v/>
      </c>
      <c r="G456" s="16">
        <f>1/(1+$C$7)^(A456/12)</f>
        <v/>
      </c>
      <c r="H456" s="16">
        <f>F456*G456</f>
        <v/>
      </c>
    </row>
    <row r="457">
      <c r="A457" s="14" t="n">
        <v>445</v>
      </c>
      <c r="B457">
        <f>$C$5+INT(A457/12)</f>
        <v/>
      </c>
      <c r="C457">
        <f>Parametros!$B$5+INT(A457/12)</f>
        <v/>
      </c>
      <c r="D457" s="15">
        <f>IFERROR(IF($C$4="H",INDEX(Mortalidad_H!$B$3:$BX$113,MATCH(B457,Mortalidad_H!$A$3:$A$113,0),MATCH(MIN(C457,2100),Mortalidad_H!$B$2:$BX$2,0)),INDEX(Mortalidad_M!$B$3:$BX$93,MATCH(B457,Mortalidad_M!$A$3:$A$93,0),MATCH(MIN(C457,2100),Mortalidad_M!$B$2:$BX$2,0))),1)</f>
        <v/>
      </c>
      <c r="E457" s="15">
        <f>1-(1-D457)^(1/12)</f>
        <v/>
      </c>
      <c r="F457" s="16">
        <f>F456*(1-E456)</f>
        <v/>
      </c>
      <c r="G457" s="16">
        <f>1/(1+$C$7)^(A457/12)</f>
        <v/>
      </c>
      <c r="H457" s="16">
        <f>F457*G457</f>
        <v/>
      </c>
    </row>
    <row r="458">
      <c r="A458" s="14" t="n">
        <v>446</v>
      </c>
      <c r="B458">
        <f>$C$5+INT(A458/12)</f>
        <v/>
      </c>
      <c r="C458">
        <f>Parametros!$B$5+INT(A458/12)</f>
        <v/>
      </c>
      <c r="D458" s="15">
        <f>IFERROR(IF($C$4="H",INDEX(Mortalidad_H!$B$3:$BX$113,MATCH(B458,Mortalidad_H!$A$3:$A$113,0),MATCH(MIN(C458,2100),Mortalidad_H!$B$2:$BX$2,0)),INDEX(Mortalidad_M!$B$3:$BX$93,MATCH(B458,Mortalidad_M!$A$3:$A$93,0),MATCH(MIN(C458,2100),Mortalidad_M!$B$2:$BX$2,0))),1)</f>
        <v/>
      </c>
      <c r="E458" s="15">
        <f>1-(1-D458)^(1/12)</f>
        <v/>
      </c>
      <c r="F458" s="16">
        <f>F457*(1-E457)</f>
        <v/>
      </c>
      <c r="G458" s="16">
        <f>1/(1+$C$7)^(A458/12)</f>
        <v/>
      </c>
      <c r="H458" s="16">
        <f>F458*G458</f>
        <v/>
      </c>
    </row>
    <row r="459">
      <c r="A459" s="14" t="n">
        <v>447</v>
      </c>
      <c r="B459">
        <f>$C$5+INT(A459/12)</f>
        <v/>
      </c>
      <c r="C459">
        <f>Parametros!$B$5+INT(A459/12)</f>
        <v/>
      </c>
      <c r="D459" s="15">
        <f>IFERROR(IF($C$4="H",INDEX(Mortalidad_H!$B$3:$BX$113,MATCH(B459,Mortalidad_H!$A$3:$A$113,0),MATCH(MIN(C459,2100),Mortalidad_H!$B$2:$BX$2,0)),INDEX(Mortalidad_M!$B$3:$BX$93,MATCH(B459,Mortalidad_M!$A$3:$A$93,0),MATCH(MIN(C459,2100),Mortalidad_M!$B$2:$BX$2,0))),1)</f>
        <v/>
      </c>
      <c r="E459" s="15">
        <f>1-(1-D459)^(1/12)</f>
        <v/>
      </c>
      <c r="F459" s="16">
        <f>F458*(1-E458)</f>
        <v/>
      </c>
      <c r="G459" s="16">
        <f>1/(1+$C$7)^(A459/12)</f>
        <v/>
      </c>
      <c r="H459" s="16">
        <f>F459*G459</f>
        <v/>
      </c>
    </row>
    <row r="460">
      <c r="A460" s="14" t="n">
        <v>448</v>
      </c>
      <c r="B460">
        <f>$C$5+INT(A460/12)</f>
        <v/>
      </c>
      <c r="C460">
        <f>Parametros!$B$5+INT(A460/12)</f>
        <v/>
      </c>
      <c r="D460" s="15">
        <f>IFERROR(IF($C$4="H",INDEX(Mortalidad_H!$B$3:$BX$113,MATCH(B460,Mortalidad_H!$A$3:$A$113,0),MATCH(MIN(C460,2100),Mortalidad_H!$B$2:$BX$2,0)),INDEX(Mortalidad_M!$B$3:$BX$93,MATCH(B460,Mortalidad_M!$A$3:$A$93,0),MATCH(MIN(C460,2100),Mortalidad_M!$B$2:$BX$2,0))),1)</f>
        <v/>
      </c>
      <c r="E460" s="15">
        <f>1-(1-D460)^(1/12)</f>
        <v/>
      </c>
      <c r="F460" s="16">
        <f>F459*(1-E459)</f>
        <v/>
      </c>
      <c r="G460" s="16">
        <f>1/(1+$C$7)^(A460/12)</f>
        <v/>
      </c>
      <c r="H460" s="16">
        <f>F460*G460</f>
        <v/>
      </c>
    </row>
    <row r="461">
      <c r="A461" s="14" t="n">
        <v>449</v>
      </c>
      <c r="B461">
        <f>$C$5+INT(A461/12)</f>
        <v/>
      </c>
      <c r="C461">
        <f>Parametros!$B$5+INT(A461/12)</f>
        <v/>
      </c>
      <c r="D461" s="15">
        <f>IFERROR(IF($C$4="H",INDEX(Mortalidad_H!$B$3:$BX$113,MATCH(B461,Mortalidad_H!$A$3:$A$113,0),MATCH(MIN(C461,2100),Mortalidad_H!$B$2:$BX$2,0)),INDEX(Mortalidad_M!$B$3:$BX$93,MATCH(B461,Mortalidad_M!$A$3:$A$93,0),MATCH(MIN(C461,2100),Mortalidad_M!$B$2:$BX$2,0))),1)</f>
        <v/>
      </c>
      <c r="E461" s="15">
        <f>1-(1-D461)^(1/12)</f>
        <v/>
      </c>
      <c r="F461" s="16">
        <f>F460*(1-E460)</f>
        <v/>
      </c>
      <c r="G461" s="16">
        <f>1/(1+$C$7)^(A461/12)</f>
        <v/>
      </c>
      <c r="H461" s="16">
        <f>F461*G461</f>
        <v/>
      </c>
    </row>
    <row r="462">
      <c r="A462" s="14" t="n">
        <v>450</v>
      </c>
      <c r="B462">
        <f>$C$5+INT(A462/12)</f>
        <v/>
      </c>
      <c r="C462">
        <f>Parametros!$B$5+INT(A462/12)</f>
        <v/>
      </c>
      <c r="D462" s="15">
        <f>IFERROR(IF($C$4="H",INDEX(Mortalidad_H!$B$3:$BX$113,MATCH(B462,Mortalidad_H!$A$3:$A$113,0),MATCH(MIN(C462,2100),Mortalidad_H!$B$2:$BX$2,0)),INDEX(Mortalidad_M!$B$3:$BX$93,MATCH(B462,Mortalidad_M!$A$3:$A$93,0),MATCH(MIN(C462,2100),Mortalidad_M!$B$2:$BX$2,0))),1)</f>
        <v/>
      </c>
      <c r="E462" s="15">
        <f>1-(1-D462)^(1/12)</f>
        <v/>
      </c>
      <c r="F462" s="16">
        <f>F461*(1-E461)</f>
        <v/>
      </c>
      <c r="G462" s="16">
        <f>1/(1+$C$7)^(A462/12)</f>
        <v/>
      </c>
      <c r="H462" s="16">
        <f>F462*G462</f>
        <v/>
      </c>
    </row>
    <row r="463">
      <c r="A463" s="14" t="n">
        <v>451</v>
      </c>
      <c r="B463">
        <f>$C$5+INT(A463/12)</f>
        <v/>
      </c>
      <c r="C463">
        <f>Parametros!$B$5+INT(A463/12)</f>
        <v/>
      </c>
      <c r="D463" s="15">
        <f>IFERROR(IF($C$4="H",INDEX(Mortalidad_H!$B$3:$BX$113,MATCH(B463,Mortalidad_H!$A$3:$A$113,0),MATCH(MIN(C463,2100),Mortalidad_H!$B$2:$BX$2,0)),INDEX(Mortalidad_M!$B$3:$BX$93,MATCH(B463,Mortalidad_M!$A$3:$A$93,0),MATCH(MIN(C463,2100),Mortalidad_M!$B$2:$BX$2,0))),1)</f>
        <v/>
      </c>
      <c r="E463" s="15">
        <f>1-(1-D463)^(1/12)</f>
        <v/>
      </c>
      <c r="F463" s="16">
        <f>F462*(1-E462)</f>
        <v/>
      </c>
      <c r="G463" s="16">
        <f>1/(1+$C$7)^(A463/12)</f>
        <v/>
      </c>
      <c r="H463" s="16">
        <f>F463*G463</f>
        <v/>
      </c>
    </row>
    <row r="464">
      <c r="A464" s="14" t="n">
        <v>452</v>
      </c>
      <c r="B464">
        <f>$C$5+INT(A464/12)</f>
        <v/>
      </c>
      <c r="C464">
        <f>Parametros!$B$5+INT(A464/12)</f>
        <v/>
      </c>
      <c r="D464" s="15">
        <f>IFERROR(IF($C$4="H",INDEX(Mortalidad_H!$B$3:$BX$113,MATCH(B464,Mortalidad_H!$A$3:$A$113,0),MATCH(MIN(C464,2100),Mortalidad_H!$B$2:$BX$2,0)),INDEX(Mortalidad_M!$B$3:$BX$93,MATCH(B464,Mortalidad_M!$A$3:$A$93,0),MATCH(MIN(C464,2100),Mortalidad_M!$B$2:$BX$2,0))),1)</f>
        <v/>
      </c>
      <c r="E464" s="15">
        <f>1-(1-D464)^(1/12)</f>
        <v/>
      </c>
      <c r="F464" s="16">
        <f>F463*(1-E463)</f>
        <v/>
      </c>
      <c r="G464" s="16">
        <f>1/(1+$C$7)^(A464/12)</f>
        <v/>
      </c>
      <c r="H464" s="16">
        <f>F464*G464</f>
        <v/>
      </c>
    </row>
    <row r="465">
      <c r="A465" s="14" t="n">
        <v>453</v>
      </c>
      <c r="B465">
        <f>$C$5+INT(A465/12)</f>
        <v/>
      </c>
      <c r="C465">
        <f>Parametros!$B$5+INT(A465/12)</f>
        <v/>
      </c>
      <c r="D465" s="15">
        <f>IFERROR(IF($C$4="H",INDEX(Mortalidad_H!$B$3:$BX$113,MATCH(B465,Mortalidad_H!$A$3:$A$113,0),MATCH(MIN(C465,2100),Mortalidad_H!$B$2:$BX$2,0)),INDEX(Mortalidad_M!$B$3:$BX$93,MATCH(B465,Mortalidad_M!$A$3:$A$93,0),MATCH(MIN(C465,2100),Mortalidad_M!$B$2:$BX$2,0))),1)</f>
        <v/>
      </c>
      <c r="E465" s="15">
        <f>1-(1-D465)^(1/12)</f>
        <v/>
      </c>
      <c r="F465" s="16">
        <f>F464*(1-E464)</f>
        <v/>
      </c>
      <c r="G465" s="16">
        <f>1/(1+$C$7)^(A465/12)</f>
        <v/>
      </c>
      <c r="H465" s="16">
        <f>F465*G465</f>
        <v/>
      </c>
    </row>
    <row r="466">
      <c r="A466" s="14" t="n">
        <v>454</v>
      </c>
      <c r="B466">
        <f>$C$5+INT(A466/12)</f>
        <v/>
      </c>
      <c r="C466">
        <f>Parametros!$B$5+INT(A466/12)</f>
        <v/>
      </c>
      <c r="D466" s="15">
        <f>IFERROR(IF($C$4="H",INDEX(Mortalidad_H!$B$3:$BX$113,MATCH(B466,Mortalidad_H!$A$3:$A$113,0),MATCH(MIN(C466,2100),Mortalidad_H!$B$2:$BX$2,0)),INDEX(Mortalidad_M!$B$3:$BX$93,MATCH(B466,Mortalidad_M!$A$3:$A$93,0),MATCH(MIN(C466,2100),Mortalidad_M!$B$2:$BX$2,0))),1)</f>
        <v/>
      </c>
      <c r="E466" s="15">
        <f>1-(1-D466)^(1/12)</f>
        <v/>
      </c>
      <c r="F466" s="16">
        <f>F465*(1-E465)</f>
        <v/>
      </c>
      <c r="G466" s="16">
        <f>1/(1+$C$7)^(A466/12)</f>
        <v/>
      </c>
      <c r="H466" s="16">
        <f>F466*G466</f>
        <v/>
      </c>
    </row>
    <row r="467">
      <c r="A467" s="14" t="n">
        <v>455</v>
      </c>
      <c r="B467">
        <f>$C$5+INT(A467/12)</f>
        <v/>
      </c>
      <c r="C467">
        <f>Parametros!$B$5+INT(A467/12)</f>
        <v/>
      </c>
      <c r="D467" s="15">
        <f>IFERROR(IF($C$4="H",INDEX(Mortalidad_H!$B$3:$BX$113,MATCH(B467,Mortalidad_H!$A$3:$A$113,0),MATCH(MIN(C467,2100),Mortalidad_H!$B$2:$BX$2,0)),INDEX(Mortalidad_M!$B$3:$BX$93,MATCH(B467,Mortalidad_M!$A$3:$A$93,0),MATCH(MIN(C467,2100),Mortalidad_M!$B$2:$BX$2,0))),1)</f>
        <v/>
      </c>
      <c r="E467" s="15">
        <f>1-(1-D467)^(1/12)</f>
        <v/>
      </c>
      <c r="F467" s="16">
        <f>F466*(1-E466)</f>
        <v/>
      </c>
      <c r="G467" s="16">
        <f>1/(1+$C$7)^(A467/12)</f>
        <v/>
      </c>
      <c r="H467" s="16">
        <f>F467*G467</f>
        <v/>
      </c>
    </row>
    <row r="468">
      <c r="A468" s="14" t="n">
        <v>456</v>
      </c>
      <c r="B468">
        <f>$C$5+INT(A468/12)</f>
        <v/>
      </c>
      <c r="C468">
        <f>Parametros!$B$5+INT(A468/12)</f>
        <v/>
      </c>
      <c r="D468" s="15">
        <f>IFERROR(IF($C$4="H",INDEX(Mortalidad_H!$B$3:$BX$113,MATCH(B468,Mortalidad_H!$A$3:$A$113,0),MATCH(MIN(C468,2100),Mortalidad_H!$B$2:$BX$2,0)),INDEX(Mortalidad_M!$B$3:$BX$93,MATCH(B468,Mortalidad_M!$A$3:$A$93,0),MATCH(MIN(C468,2100),Mortalidad_M!$B$2:$BX$2,0))),1)</f>
        <v/>
      </c>
      <c r="E468" s="15">
        <f>1-(1-D468)^(1/12)</f>
        <v/>
      </c>
      <c r="F468" s="16">
        <f>F467*(1-E467)</f>
        <v/>
      </c>
      <c r="G468" s="16">
        <f>1/(1+$C$7)^(A468/12)</f>
        <v/>
      </c>
      <c r="H468" s="16">
        <f>F468*G468</f>
        <v/>
      </c>
    </row>
    <row r="469">
      <c r="A469" s="14" t="n">
        <v>457</v>
      </c>
      <c r="B469">
        <f>$C$5+INT(A469/12)</f>
        <v/>
      </c>
      <c r="C469">
        <f>Parametros!$B$5+INT(A469/12)</f>
        <v/>
      </c>
      <c r="D469" s="15">
        <f>IFERROR(IF($C$4="H",INDEX(Mortalidad_H!$B$3:$BX$113,MATCH(B469,Mortalidad_H!$A$3:$A$113,0),MATCH(MIN(C469,2100),Mortalidad_H!$B$2:$BX$2,0)),INDEX(Mortalidad_M!$B$3:$BX$93,MATCH(B469,Mortalidad_M!$A$3:$A$93,0),MATCH(MIN(C469,2100),Mortalidad_M!$B$2:$BX$2,0))),1)</f>
        <v/>
      </c>
      <c r="E469" s="15">
        <f>1-(1-D469)^(1/12)</f>
        <v/>
      </c>
      <c r="F469" s="16">
        <f>F468*(1-E468)</f>
        <v/>
      </c>
      <c r="G469" s="16">
        <f>1/(1+$C$7)^(A469/12)</f>
        <v/>
      </c>
      <c r="H469" s="16">
        <f>F469*G469</f>
        <v/>
      </c>
    </row>
    <row r="470">
      <c r="A470" s="14" t="n">
        <v>458</v>
      </c>
      <c r="B470">
        <f>$C$5+INT(A470/12)</f>
        <v/>
      </c>
      <c r="C470">
        <f>Parametros!$B$5+INT(A470/12)</f>
        <v/>
      </c>
      <c r="D470" s="15">
        <f>IFERROR(IF($C$4="H",INDEX(Mortalidad_H!$B$3:$BX$113,MATCH(B470,Mortalidad_H!$A$3:$A$113,0),MATCH(MIN(C470,2100),Mortalidad_H!$B$2:$BX$2,0)),INDEX(Mortalidad_M!$B$3:$BX$93,MATCH(B470,Mortalidad_M!$A$3:$A$93,0),MATCH(MIN(C470,2100),Mortalidad_M!$B$2:$BX$2,0))),1)</f>
        <v/>
      </c>
      <c r="E470" s="15">
        <f>1-(1-D470)^(1/12)</f>
        <v/>
      </c>
      <c r="F470" s="16">
        <f>F469*(1-E469)</f>
        <v/>
      </c>
      <c r="G470" s="16">
        <f>1/(1+$C$7)^(A470/12)</f>
        <v/>
      </c>
      <c r="H470" s="16">
        <f>F470*G470</f>
        <v/>
      </c>
    </row>
    <row r="471">
      <c r="A471" s="14" t="n">
        <v>459</v>
      </c>
      <c r="B471">
        <f>$C$5+INT(A471/12)</f>
        <v/>
      </c>
      <c r="C471">
        <f>Parametros!$B$5+INT(A471/12)</f>
        <v/>
      </c>
      <c r="D471" s="15">
        <f>IFERROR(IF($C$4="H",INDEX(Mortalidad_H!$B$3:$BX$113,MATCH(B471,Mortalidad_H!$A$3:$A$113,0),MATCH(MIN(C471,2100),Mortalidad_H!$B$2:$BX$2,0)),INDEX(Mortalidad_M!$B$3:$BX$93,MATCH(B471,Mortalidad_M!$A$3:$A$93,0),MATCH(MIN(C471,2100),Mortalidad_M!$B$2:$BX$2,0))),1)</f>
        <v/>
      </c>
      <c r="E471" s="15">
        <f>1-(1-D471)^(1/12)</f>
        <v/>
      </c>
      <c r="F471" s="16">
        <f>F470*(1-E470)</f>
        <v/>
      </c>
      <c r="G471" s="16">
        <f>1/(1+$C$7)^(A471/12)</f>
        <v/>
      </c>
      <c r="H471" s="16">
        <f>F471*G471</f>
        <v/>
      </c>
    </row>
    <row r="472">
      <c r="A472" s="14" t="n">
        <v>460</v>
      </c>
      <c r="B472">
        <f>$C$5+INT(A472/12)</f>
        <v/>
      </c>
      <c r="C472">
        <f>Parametros!$B$5+INT(A472/12)</f>
        <v/>
      </c>
      <c r="D472" s="15">
        <f>IFERROR(IF($C$4="H",INDEX(Mortalidad_H!$B$3:$BX$113,MATCH(B472,Mortalidad_H!$A$3:$A$113,0),MATCH(MIN(C472,2100),Mortalidad_H!$B$2:$BX$2,0)),INDEX(Mortalidad_M!$B$3:$BX$93,MATCH(B472,Mortalidad_M!$A$3:$A$93,0),MATCH(MIN(C472,2100),Mortalidad_M!$B$2:$BX$2,0))),1)</f>
        <v/>
      </c>
      <c r="E472" s="15">
        <f>1-(1-D472)^(1/12)</f>
        <v/>
      </c>
      <c r="F472" s="16">
        <f>F471*(1-E471)</f>
        <v/>
      </c>
      <c r="G472" s="16">
        <f>1/(1+$C$7)^(A472/12)</f>
        <v/>
      </c>
      <c r="H472" s="16">
        <f>F472*G472</f>
        <v/>
      </c>
    </row>
    <row r="473">
      <c r="A473" s="14" t="n">
        <v>461</v>
      </c>
      <c r="B473">
        <f>$C$5+INT(A473/12)</f>
        <v/>
      </c>
      <c r="C473">
        <f>Parametros!$B$5+INT(A473/12)</f>
        <v/>
      </c>
      <c r="D473" s="15">
        <f>IFERROR(IF($C$4="H",INDEX(Mortalidad_H!$B$3:$BX$113,MATCH(B473,Mortalidad_H!$A$3:$A$113,0),MATCH(MIN(C473,2100),Mortalidad_H!$B$2:$BX$2,0)),INDEX(Mortalidad_M!$B$3:$BX$93,MATCH(B473,Mortalidad_M!$A$3:$A$93,0),MATCH(MIN(C473,2100),Mortalidad_M!$B$2:$BX$2,0))),1)</f>
        <v/>
      </c>
      <c r="E473" s="15">
        <f>1-(1-D473)^(1/12)</f>
        <v/>
      </c>
      <c r="F473" s="16">
        <f>F472*(1-E472)</f>
        <v/>
      </c>
      <c r="G473" s="16">
        <f>1/(1+$C$7)^(A473/12)</f>
        <v/>
      </c>
      <c r="H473" s="16">
        <f>F473*G473</f>
        <v/>
      </c>
    </row>
    <row r="474">
      <c r="A474" s="14" t="n">
        <v>462</v>
      </c>
      <c r="B474">
        <f>$C$5+INT(A474/12)</f>
        <v/>
      </c>
      <c r="C474">
        <f>Parametros!$B$5+INT(A474/12)</f>
        <v/>
      </c>
      <c r="D474" s="15">
        <f>IFERROR(IF($C$4="H",INDEX(Mortalidad_H!$B$3:$BX$113,MATCH(B474,Mortalidad_H!$A$3:$A$113,0),MATCH(MIN(C474,2100),Mortalidad_H!$B$2:$BX$2,0)),INDEX(Mortalidad_M!$B$3:$BX$93,MATCH(B474,Mortalidad_M!$A$3:$A$93,0),MATCH(MIN(C474,2100),Mortalidad_M!$B$2:$BX$2,0))),1)</f>
        <v/>
      </c>
      <c r="E474" s="15">
        <f>1-(1-D474)^(1/12)</f>
        <v/>
      </c>
      <c r="F474" s="16">
        <f>F473*(1-E473)</f>
        <v/>
      </c>
      <c r="G474" s="16">
        <f>1/(1+$C$7)^(A474/12)</f>
        <v/>
      </c>
      <c r="H474" s="16">
        <f>F474*G474</f>
        <v/>
      </c>
    </row>
    <row r="475">
      <c r="A475" s="14" t="n">
        <v>463</v>
      </c>
      <c r="B475">
        <f>$C$5+INT(A475/12)</f>
        <v/>
      </c>
      <c r="C475">
        <f>Parametros!$B$5+INT(A475/12)</f>
        <v/>
      </c>
      <c r="D475" s="15">
        <f>IFERROR(IF($C$4="H",INDEX(Mortalidad_H!$B$3:$BX$113,MATCH(B475,Mortalidad_H!$A$3:$A$113,0),MATCH(MIN(C475,2100),Mortalidad_H!$B$2:$BX$2,0)),INDEX(Mortalidad_M!$B$3:$BX$93,MATCH(B475,Mortalidad_M!$A$3:$A$93,0),MATCH(MIN(C475,2100),Mortalidad_M!$B$2:$BX$2,0))),1)</f>
        <v/>
      </c>
      <c r="E475" s="15">
        <f>1-(1-D475)^(1/12)</f>
        <v/>
      </c>
      <c r="F475" s="16">
        <f>F474*(1-E474)</f>
        <v/>
      </c>
      <c r="G475" s="16">
        <f>1/(1+$C$7)^(A475/12)</f>
        <v/>
      </c>
      <c r="H475" s="16">
        <f>F475*G475</f>
        <v/>
      </c>
    </row>
    <row r="476">
      <c r="A476" s="14" t="n">
        <v>464</v>
      </c>
      <c r="B476">
        <f>$C$5+INT(A476/12)</f>
        <v/>
      </c>
      <c r="C476">
        <f>Parametros!$B$5+INT(A476/12)</f>
        <v/>
      </c>
      <c r="D476" s="15">
        <f>IFERROR(IF($C$4="H",INDEX(Mortalidad_H!$B$3:$BX$113,MATCH(B476,Mortalidad_H!$A$3:$A$113,0),MATCH(MIN(C476,2100),Mortalidad_H!$B$2:$BX$2,0)),INDEX(Mortalidad_M!$B$3:$BX$93,MATCH(B476,Mortalidad_M!$A$3:$A$93,0),MATCH(MIN(C476,2100),Mortalidad_M!$B$2:$BX$2,0))),1)</f>
        <v/>
      </c>
      <c r="E476" s="15">
        <f>1-(1-D476)^(1/12)</f>
        <v/>
      </c>
      <c r="F476" s="16">
        <f>F475*(1-E475)</f>
        <v/>
      </c>
      <c r="G476" s="16">
        <f>1/(1+$C$7)^(A476/12)</f>
        <v/>
      </c>
      <c r="H476" s="16">
        <f>F476*G476</f>
        <v/>
      </c>
    </row>
    <row r="477">
      <c r="A477" s="14" t="n">
        <v>465</v>
      </c>
      <c r="B477">
        <f>$C$5+INT(A477/12)</f>
        <v/>
      </c>
      <c r="C477">
        <f>Parametros!$B$5+INT(A477/12)</f>
        <v/>
      </c>
      <c r="D477" s="15">
        <f>IFERROR(IF($C$4="H",INDEX(Mortalidad_H!$B$3:$BX$113,MATCH(B477,Mortalidad_H!$A$3:$A$113,0),MATCH(MIN(C477,2100),Mortalidad_H!$B$2:$BX$2,0)),INDEX(Mortalidad_M!$B$3:$BX$93,MATCH(B477,Mortalidad_M!$A$3:$A$93,0),MATCH(MIN(C477,2100),Mortalidad_M!$B$2:$BX$2,0))),1)</f>
        <v/>
      </c>
      <c r="E477" s="15">
        <f>1-(1-D477)^(1/12)</f>
        <v/>
      </c>
      <c r="F477" s="16">
        <f>F476*(1-E476)</f>
        <v/>
      </c>
      <c r="G477" s="16">
        <f>1/(1+$C$7)^(A477/12)</f>
        <v/>
      </c>
      <c r="H477" s="16">
        <f>F477*G477</f>
        <v/>
      </c>
    </row>
    <row r="478">
      <c r="A478" s="14" t="n">
        <v>466</v>
      </c>
      <c r="B478">
        <f>$C$5+INT(A478/12)</f>
        <v/>
      </c>
      <c r="C478">
        <f>Parametros!$B$5+INT(A478/12)</f>
        <v/>
      </c>
      <c r="D478" s="15">
        <f>IFERROR(IF($C$4="H",INDEX(Mortalidad_H!$B$3:$BX$113,MATCH(B478,Mortalidad_H!$A$3:$A$113,0),MATCH(MIN(C478,2100),Mortalidad_H!$B$2:$BX$2,0)),INDEX(Mortalidad_M!$B$3:$BX$93,MATCH(B478,Mortalidad_M!$A$3:$A$93,0),MATCH(MIN(C478,2100),Mortalidad_M!$B$2:$BX$2,0))),1)</f>
        <v/>
      </c>
      <c r="E478" s="15">
        <f>1-(1-D478)^(1/12)</f>
        <v/>
      </c>
      <c r="F478" s="16">
        <f>F477*(1-E477)</f>
        <v/>
      </c>
      <c r="G478" s="16">
        <f>1/(1+$C$7)^(A478/12)</f>
        <v/>
      </c>
      <c r="H478" s="16">
        <f>F478*G478</f>
        <v/>
      </c>
    </row>
    <row r="479">
      <c r="A479" s="14" t="n">
        <v>467</v>
      </c>
      <c r="B479">
        <f>$C$5+INT(A479/12)</f>
        <v/>
      </c>
      <c r="C479">
        <f>Parametros!$B$5+INT(A479/12)</f>
        <v/>
      </c>
      <c r="D479" s="15">
        <f>IFERROR(IF($C$4="H",INDEX(Mortalidad_H!$B$3:$BX$113,MATCH(B479,Mortalidad_H!$A$3:$A$113,0),MATCH(MIN(C479,2100),Mortalidad_H!$B$2:$BX$2,0)),INDEX(Mortalidad_M!$B$3:$BX$93,MATCH(B479,Mortalidad_M!$A$3:$A$93,0),MATCH(MIN(C479,2100),Mortalidad_M!$B$2:$BX$2,0))),1)</f>
        <v/>
      </c>
      <c r="E479" s="15">
        <f>1-(1-D479)^(1/12)</f>
        <v/>
      </c>
      <c r="F479" s="16">
        <f>F478*(1-E478)</f>
        <v/>
      </c>
      <c r="G479" s="16">
        <f>1/(1+$C$7)^(A479/12)</f>
        <v/>
      </c>
      <c r="H479" s="16">
        <f>F479*G479</f>
        <v/>
      </c>
    </row>
    <row r="480">
      <c r="A480" s="14" t="n">
        <v>468</v>
      </c>
      <c r="B480">
        <f>$C$5+INT(A480/12)</f>
        <v/>
      </c>
      <c r="C480">
        <f>Parametros!$B$5+INT(A480/12)</f>
        <v/>
      </c>
      <c r="D480" s="15">
        <f>IFERROR(IF($C$4="H",INDEX(Mortalidad_H!$B$3:$BX$113,MATCH(B480,Mortalidad_H!$A$3:$A$113,0),MATCH(MIN(C480,2100),Mortalidad_H!$B$2:$BX$2,0)),INDEX(Mortalidad_M!$B$3:$BX$93,MATCH(B480,Mortalidad_M!$A$3:$A$93,0),MATCH(MIN(C480,2100),Mortalidad_M!$B$2:$BX$2,0))),1)</f>
        <v/>
      </c>
      <c r="E480" s="15">
        <f>1-(1-D480)^(1/12)</f>
        <v/>
      </c>
      <c r="F480" s="16">
        <f>F479*(1-E479)</f>
        <v/>
      </c>
      <c r="G480" s="16">
        <f>1/(1+$C$7)^(A480/12)</f>
        <v/>
      </c>
      <c r="H480" s="16">
        <f>F480*G480</f>
        <v/>
      </c>
    </row>
    <row r="481">
      <c r="A481" s="14" t="n">
        <v>469</v>
      </c>
      <c r="B481">
        <f>$C$5+INT(A481/12)</f>
        <v/>
      </c>
      <c r="C481">
        <f>Parametros!$B$5+INT(A481/12)</f>
        <v/>
      </c>
      <c r="D481" s="15">
        <f>IFERROR(IF($C$4="H",INDEX(Mortalidad_H!$B$3:$BX$113,MATCH(B481,Mortalidad_H!$A$3:$A$113,0),MATCH(MIN(C481,2100),Mortalidad_H!$B$2:$BX$2,0)),INDEX(Mortalidad_M!$B$3:$BX$93,MATCH(B481,Mortalidad_M!$A$3:$A$93,0),MATCH(MIN(C481,2100),Mortalidad_M!$B$2:$BX$2,0))),1)</f>
        <v/>
      </c>
      <c r="E481" s="15">
        <f>1-(1-D481)^(1/12)</f>
        <v/>
      </c>
      <c r="F481" s="16">
        <f>F480*(1-E480)</f>
        <v/>
      </c>
      <c r="G481" s="16">
        <f>1/(1+$C$7)^(A481/12)</f>
        <v/>
      </c>
      <c r="H481" s="16">
        <f>F481*G481</f>
        <v/>
      </c>
    </row>
    <row r="482">
      <c r="A482" s="14" t="n">
        <v>470</v>
      </c>
      <c r="B482">
        <f>$C$5+INT(A482/12)</f>
        <v/>
      </c>
      <c r="C482">
        <f>Parametros!$B$5+INT(A482/12)</f>
        <v/>
      </c>
      <c r="D482" s="15">
        <f>IFERROR(IF($C$4="H",INDEX(Mortalidad_H!$B$3:$BX$113,MATCH(B482,Mortalidad_H!$A$3:$A$113,0),MATCH(MIN(C482,2100),Mortalidad_H!$B$2:$BX$2,0)),INDEX(Mortalidad_M!$B$3:$BX$93,MATCH(B482,Mortalidad_M!$A$3:$A$93,0),MATCH(MIN(C482,2100),Mortalidad_M!$B$2:$BX$2,0))),1)</f>
        <v/>
      </c>
      <c r="E482" s="15">
        <f>1-(1-D482)^(1/12)</f>
        <v/>
      </c>
      <c r="F482" s="16">
        <f>F481*(1-E481)</f>
        <v/>
      </c>
      <c r="G482" s="16">
        <f>1/(1+$C$7)^(A482/12)</f>
        <v/>
      </c>
      <c r="H482" s="16">
        <f>F482*G482</f>
        <v/>
      </c>
    </row>
    <row r="483">
      <c r="A483" s="14" t="n">
        <v>471</v>
      </c>
      <c r="B483">
        <f>$C$5+INT(A483/12)</f>
        <v/>
      </c>
      <c r="C483">
        <f>Parametros!$B$5+INT(A483/12)</f>
        <v/>
      </c>
      <c r="D483" s="15">
        <f>IFERROR(IF($C$4="H",INDEX(Mortalidad_H!$B$3:$BX$113,MATCH(B483,Mortalidad_H!$A$3:$A$113,0),MATCH(MIN(C483,2100),Mortalidad_H!$B$2:$BX$2,0)),INDEX(Mortalidad_M!$B$3:$BX$93,MATCH(B483,Mortalidad_M!$A$3:$A$93,0),MATCH(MIN(C483,2100),Mortalidad_M!$B$2:$BX$2,0))),1)</f>
        <v/>
      </c>
      <c r="E483" s="15">
        <f>1-(1-D483)^(1/12)</f>
        <v/>
      </c>
      <c r="F483" s="16">
        <f>F482*(1-E482)</f>
        <v/>
      </c>
      <c r="G483" s="16">
        <f>1/(1+$C$7)^(A483/12)</f>
        <v/>
      </c>
      <c r="H483" s="16">
        <f>F483*G483</f>
        <v/>
      </c>
    </row>
    <row r="484">
      <c r="A484" s="14" t="n">
        <v>472</v>
      </c>
      <c r="B484">
        <f>$C$5+INT(A484/12)</f>
        <v/>
      </c>
      <c r="C484">
        <f>Parametros!$B$5+INT(A484/12)</f>
        <v/>
      </c>
      <c r="D484" s="15">
        <f>IFERROR(IF($C$4="H",INDEX(Mortalidad_H!$B$3:$BX$113,MATCH(B484,Mortalidad_H!$A$3:$A$113,0),MATCH(MIN(C484,2100),Mortalidad_H!$B$2:$BX$2,0)),INDEX(Mortalidad_M!$B$3:$BX$93,MATCH(B484,Mortalidad_M!$A$3:$A$93,0),MATCH(MIN(C484,2100),Mortalidad_M!$B$2:$BX$2,0))),1)</f>
        <v/>
      </c>
      <c r="E484" s="15">
        <f>1-(1-D484)^(1/12)</f>
        <v/>
      </c>
      <c r="F484" s="16">
        <f>F483*(1-E483)</f>
        <v/>
      </c>
      <c r="G484" s="16">
        <f>1/(1+$C$7)^(A484/12)</f>
        <v/>
      </c>
      <c r="H484" s="16">
        <f>F484*G484</f>
        <v/>
      </c>
    </row>
    <row r="485">
      <c r="A485" s="14" t="n">
        <v>473</v>
      </c>
      <c r="B485">
        <f>$C$5+INT(A485/12)</f>
        <v/>
      </c>
      <c r="C485">
        <f>Parametros!$B$5+INT(A485/12)</f>
        <v/>
      </c>
      <c r="D485" s="15">
        <f>IFERROR(IF($C$4="H",INDEX(Mortalidad_H!$B$3:$BX$113,MATCH(B485,Mortalidad_H!$A$3:$A$113,0),MATCH(MIN(C485,2100),Mortalidad_H!$B$2:$BX$2,0)),INDEX(Mortalidad_M!$B$3:$BX$93,MATCH(B485,Mortalidad_M!$A$3:$A$93,0),MATCH(MIN(C485,2100),Mortalidad_M!$B$2:$BX$2,0))),1)</f>
        <v/>
      </c>
      <c r="E485" s="15">
        <f>1-(1-D485)^(1/12)</f>
        <v/>
      </c>
      <c r="F485" s="16">
        <f>F484*(1-E484)</f>
        <v/>
      </c>
      <c r="G485" s="16">
        <f>1/(1+$C$7)^(A485/12)</f>
        <v/>
      </c>
      <c r="H485" s="16">
        <f>F485*G485</f>
        <v/>
      </c>
    </row>
    <row r="486">
      <c r="A486" s="14" t="n">
        <v>474</v>
      </c>
      <c r="B486">
        <f>$C$5+INT(A486/12)</f>
        <v/>
      </c>
      <c r="C486">
        <f>Parametros!$B$5+INT(A486/12)</f>
        <v/>
      </c>
      <c r="D486" s="15">
        <f>IFERROR(IF($C$4="H",INDEX(Mortalidad_H!$B$3:$BX$113,MATCH(B486,Mortalidad_H!$A$3:$A$113,0),MATCH(MIN(C486,2100),Mortalidad_H!$B$2:$BX$2,0)),INDEX(Mortalidad_M!$B$3:$BX$93,MATCH(B486,Mortalidad_M!$A$3:$A$93,0),MATCH(MIN(C486,2100),Mortalidad_M!$B$2:$BX$2,0))),1)</f>
        <v/>
      </c>
      <c r="E486" s="15">
        <f>1-(1-D486)^(1/12)</f>
        <v/>
      </c>
      <c r="F486" s="16">
        <f>F485*(1-E485)</f>
        <v/>
      </c>
      <c r="G486" s="16">
        <f>1/(1+$C$7)^(A486/12)</f>
        <v/>
      </c>
      <c r="H486" s="16">
        <f>F486*G486</f>
        <v/>
      </c>
    </row>
    <row r="487">
      <c r="A487" s="14" t="n">
        <v>475</v>
      </c>
      <c r="B487">
        <f>$C$5+INT(A487/12)</f>
        <v/>
      </c>
      <c r="C487">
        <f>Parametros!$B$5+INT(A487/12)</f>
        <v/>
      </c>
      <c r="D487" s="15">
        <f>IFERROR(IF($C$4="H",INDEX(Mortalidad_H!$B$3:$BX$113,MATCH(B487,Mortalidad_H!$A$3:$A$113,0),MATCH(MIN(C487,2100),Mortalidad_H!$B$2:$BX$2,0)),INDEX(Mortalidad_M!$B$3:$BX$93,MATCH(B487,Mortalidad_M!$A$3:$A$93,0),MATCH(MIN(C487,2100),Mortalidad_M!$B$2:$BX$2,0))),1)</f>
        <v/>
      </c>
      <c r="E487" s="15">
        <f>1-(1-D487)^(1/12)</f>
        <v/>
      </c>
      <c r="F487" s="16">
        <f>F486*(1-E486)</f>
        <v/>
      </c>
      <c r="G487" s="16">
        <f>1/(1+$C$7)^(A487/12)</f>
        <v/>
      </c>
      <c r="H487" s="16">
        <f>F487*G487</f>
        <v/>
      </c>
    </row>
    <row r="488">
      <c r="A488" s="14" t="n">
        <v>476</v>
      </c>
      <c r="B488">
        <f>$C$5+INT(A488/12)</f>
        <v/>
      </c>
      <c r="C488">
        <f>Parametros!$B$5+INT(A488/12)</f>
        <v/>
      </c>
      <c r="D488" s="15">
        <f>IFERROR(IF($C$4="H",INDEX(Mortalidad_H!$B$3:$BX$113,MATCH(B488,Mortalidad_H!$A$3:$A$113,0),MATCH(MIN(C488,2100),Mortalidad_H!$B$2:$BX$2,0)),INDEX(Mortalidad_M!$B$3:$BX$93,MATCH(B488,Mortalidad_M!$A$3:$A$93,0),MATCH(MIN(C488,2100),Mortalidad_M!$B$2:$BX$2,0))),1)</f>
        <v/>
      </c>
      <c r="E488" s="15">
        <f>1-(1-D488)^(1/12)</f>
        <v/>
      </c>
      <c r="F488" s="16">
        <f>F487*(1-E487)</f>
        <v/>
      </c>
      <c r="G488" s="16">
        <f>1/(1+$C$7)^(A488/12)</f>
        <v/>
      </c>
      <c r="H488" s="16">
        <f>F488*G488</f>
        <v/>
      </c>
    </row>
    <row r="489">
      <c r="A489" s="14" t="n">
        <v>477</v>
      </c>
      <c r="B489">
        <f>$C$5+INT(A489/12)</f>
        <v/>
      </c>
      <c r="C489">
        <f>Parametros!$B$5+INT(A489/12)</f>
        <v/>
      </c>
      <c r="D489" s="15">
        <f>IFERROR(IF($C$4="H",INDEX(Mortalidad_H!$B$3:$BX$113,MATCH(B489,Mortalidad_H!$A$3:$A$113,0),MATCH(MIN(C489,2100),Mortalidad_H!$B$2:$BX$2,0)),INDEX(Mortalidad_M!$B$3:$BX$93,MATCH(B489,Mortalidad_M!$A$3:$A$93,0),MATCH(MIN(C489,2100),Mortalidad_M!$B$2:$BX$2,0))),1)</f>
        <v/>
      </c>
      <c r="E489" s="15">
        <f>1-(1-D489)^(1/12)</f>
        <v/>
      </c>
      <c r="F489" s="16">
        <f>F488*(1-E488)</f>
        <v/>
      </c>
      <c r="G489" s="16">
        <f>1/(1+$C$7)^(A489/12)</f>
        <v/>
      </c>
      <c r="H489" s="16">
        <f>F489*G489</f>
        <v/>
      </c>
    </row>
    <row r="490">
      <c r="A490" s="14" t="n">
        <v>478</v>
      </c>
      <c r="B490">
        <f>$C$5+INT(A490/12)</f>
        <v/>
      </c>
      <c r="C490">
        <f>Parametros!$B$5+INT(A490/12)</f>
        <v/>
      </c>
      <c r="D490" s="15">
        <f>IFERROR(IF($C$4="H",INDEX(Mortalidad_H!$B$3:$BX$113,MATCH(B490,Mortalidad_H!$A$3:$A$113,0),MATCH(MIN(C490,2100),Mortalidad_H!$B$2:$BX$2,0)),INDEX(Mortalidad_M!$B$3:$BX$93,MATCH(B490,Mortalidad_M!$A$3:$A$93,0),MATCH(MIN(C490,2100),Mortalidad_M!$B$2:$BX$2,0))),1)</f>
        <v/>
      </c>
      <c r="E490" s="15">
        <f>1-(1-D490)^(1/12)</f>
        <v/>
      </c>
      <c r="F490" s="16">
        <f>F489*(1-E489)</f>
        <v/>
      </c>
      <c r="G490" s="16">
        <f>1/(1+$C$7)^(A490/12)</f>
        <v/>
      </c>
      <c r="H490" s="16">
        <f>F490*G490</f>
        <v/>
      </c>
    </row>
    <row r="491">
      <c r="A491" s="14" t="n">
        <v>479</v>
      </c>
      <c r="B491">
        <f>$C$5+INT(A491/12)</f>
        <v/>
      </c>
      <c r="C491">
        <f>Parametros!$B$5+INT(A491/12)</f>
        <v/>
      </c>
      <c r="D491" s="15">
        <f>IFERROR(IF($C$4="H",INDEX(Mortalidad_H!$B$3:$BX$113,MATCH(B491,Mortalidad_H!$A$3:$A$113,0),MATCH(MIN(C491,2100),Mortalidad_H!$B$2:$BX$2,0)),INDEX(Mortalidad_M!$B$3:$BX$93,MATCH(B491,Mortalidad_M!$A$3:$A$93,0),MATCH(MIN(C491,2100),Mortalidad_M!$B$2:$BX$2,0))),1)</f>
        <v/>
      </c>
      <c r="E491" s="15">
        <f>1-(1-D491)^(1/12)</f>
        <v/>
      </c>
      <c r="F491" s="16">
        <f>F490*(1-E490)</f>
        <v/>
      </c>
      <c r="G491" s="16">
        <f>1/(1+$C$7)^(A491/12)</f>
        <v/>
      </c>
      <c r="H491" s="16">
        <f>F491*G491</f>
        <v/>
      </c>
    </row>
    <row r="492">
      <c r="A492" s="14" t="n">
        <v>480</v>
      </c>
      <c r="B492">
        <f>$C$5+INT(A492/12)</f>
        <v/>
      </c>
      <c r="C492">
        <f>Parametros!$B$5+INT(A492/12)</f>
        <v/>
      </c>
      <c r="D492" s="15">
        <f>IFERROR(IF($C$4="H",INDEX(Mortalidad_H!$B$3:$BX$113,MATCH(B492,Mortalidad_H!$A$3:$A$113,0),MATCH(MIN(C492,2100),Mortalidad_H!$B$2:$BX$2,0)),INDEX(Mortalidad_M!$B$3:$BX$93,MATCH(B492,Mortalidad_M!$A$3:$A$93,0),MATCH(MIN(C492,2100),Mortalidad_M!$B$2:$BX$2,0))),1)</f>
        <v/>
      </c>
      <c r="E492" s="15">
        <f>1-(1-D492)^(1/12)</f>
        <v/>
      </c>
      <c r="F492" s="16">
        <f>F491*(1-E491)</f>
        <v/>
      </c>
      <c r="G492" s="16">
        <f>1/(1+$C$7)^(A492/12)</f>
        <v/>
      </c>
      <c r="H492" s="16">
        <f>F492*G492</f>
        <v/>
      </c>
    </row>
    <row r="493">
      <c r="A493" s="14" t="n">
        <v>481</v>
      </c>
      <c r="B493">
        <f>$C$5+INT(A493/12)</f>
        <v/>
      </c>
      <c r="C493">
        <f>Parametros!$B$5+INT(A493/12)</f>
        <v/>
      </c>
      <c r="D493" s="15">
        <f>IFERROR(IF($C$4="H",INDEX(Mortalidad_H!$B$3:$BX$113,MATCH(B493,Mortalidad_H!$A$3:$A$113,0),MATCH(MIN(C493,2100),Mortalidad_H!$B$2:$BX$2,0)),INDEX(Mortalidad_M!$B$3:$BX$93,MATCH(B493,Mortalidad_M!$A$3:$A$93,0),MATCH(MIN(C493,2100),Mortalidad_M!$B$2:$BX$2,0))),1)</f>
        <v/>
      </c>
      <c r="E493" s="15">
        <f>1-(1-D493)^(1/12)</f>
        <v/>
      </c>
      <c r="F493" s="16">
        <f>F492*(1-E492)</f>
        <v/>
      </c>
      <c r="G493" s="16">
        <f>1/(1+$C$7)^(A493/12)</f>
        <v/>
      </c>
      <c r="H493" s="16">
        <f>F493*G493</f>
        <v/>
      </c>
    </row>
    <row r="494">
      <c r="A494" s="14" t="n">
        <v>482</v>
      </c>
      <c r="B494">
        <f>$C$5+INT(A494/12)</f>
        <v/>
      </c>
      <c r="C494">
        <f>Parametros!$B$5+INT(A494/12)</f>
        <v/>
      </c>
      <c r="D494" s="15">
        <f>IFERROR(IF($C$4="H",INDEX(Mortalidad_H!$B$3:$BX$113,MATCH(B494,Mortalidad_H!$A$3:$A$113,0),MATCH(MIN(C494,2100),Mortalidad_H!$B$2:$BX$2,0)),INDEX(Mortalidad_M!$B$3:$BX$93,MATCH(B494,Mortalidad_M!$A$3:$A$93,0),MATCH(MIN(C494,2100),Mortalidad_M!$B$2:$BX$2,0))),1)</f>
        <v/>
      </c>
      <c r="E494" s="15">
        <f>1-(1-D494)^(1/12)</f>
        <v/>
      </c>
      <c r="F494" s="16">
        <f>F493*(1-E493)</f>
        <v/>
      </c>
      <c r="G494" s="16">
        <f>1/(1+$C$7)^(A494/12)</f>
        <v/>
      </c>
      <c r="H494" s="16">
        <f>F494*G494</f>
        <v/>
      </c>
    </row>
    <row r="495">
      <c r="A495" s="14" t="n">
        <v>483</v>
      </c>
      <c r="B495">
        <f>$C$5+INT(A495/12)</f>
        <v/>
      </c>
      <c r="C495">
        <f>Parametros!$B$5+INT(A495/12)</f>
        <v/>
      </c>
      <c r="D495" s="15">
        <f>IFERROR(IF($C$4="H",INDEX(Mortalidad_H!$B$3:$BX$113,MATCH(B495,Mortalidad_H!$A$3:$A$113,0),MATCH(MIN(C495,2100),Mortalidad_H!$B$2:$BX$2,0)),INDEX(Mortalidad_M!$B$3:$BX$93,MATCH(B495,Mortalidad_M!$A$3:$A$93,0),MATCH(MIN(C495,2100),Mortalidad_M!$B$2:$BX$2,0))),1)</f>
        <v/>
      </c>
      <c r="E495" s="15">
        <f>1-(1-D495)^(1/12)</f>
        <v/>
      </c>
      <c r="F495" s="16">
        <f>F494*(1-E494)</f>
        <v/>
      </c>
      <c r="G495" s="16">
        <f>1/(1+$C$7)^(A495/12)</f>
        <v/>
      </c>
      <c r="H495" s="16">
        <f>F495*G495</f>
        <v/>
      </c>
    </row>
    <row r="496">
      <c r="A496" s="14" t="n">
        <v>484</v>
      </c>
      <c r="B496">
        <f>$C$5+INT(A496/12)</f>
        <v/>
      </c>
      <c r="C496">
        <f>Parametros!$B$5+INT(A496/12)</f>
        <v/>
      </c>
      <c r="D496" s="15">
        <f>IFERROR(IF($C$4="H",INDEX(Mortalidad_H!$B$3:$BX$113,MATCH(B496,Mortalidad_H!$A$3:$A$113,0),MATCH(MIN(C496,2100),Mortalidad_H!$B$2:$BX$2,0)),INDEX(Mortalidad_M!$B$3:$BX$93,MATCH(B496,Mortalidad_M!$A$3:$A$93,0),MATCH(MIN(C496,2100),Mortalidad_M!$B$2:$BX$2,0))),1)</f>
        <v/>
      </c>
      <c r="E496" s="15">
        <f>1-(1-D496)^(1/12)</f>
        <v/>
      </c>
      <c r="F496" s="16">
        <f>F495*(1-E495)</f>
        <v/>
      </c>
      <c r="G496" s="16">
        <f>1/(1+$C$7)^(A496/12)</f>
        <v/>
      </c>
      <c r="H496" s="16">
        <f>F496*G496</f>
        <v/>
      </c>
    </row>
    <row r="497">
      <c r="A497" s="14" t="n">
        <v>485</v>
      </c>
      <c r="B497">
        <f>$C$5+INT(A497/12)</f>
        <v/>
      </c>
      <c r="C497">
        <f>Parametros!$B$5+INT(A497/12)</f>
        <v/>
      </c>
      <c r="D497" s="15">
        <f>IFERROR(IF($C$4="H",INDEX(Mortalidad_H!$B$3:$BX$113,MATCH(B497,Mortalidad_H!$A$3:$A$113,0),MATCH(MIN(C497,2100),Mortalidad_H!$B$2:$BX$2,0)),INDEX(Mortalidad_M!$B$3:$BX$93,MATCH(B497,Mortalidad_M!$A$3:$A$93,0),MATCH(MIN(C497,2100),Mortalidad_M!$B$2:$BX$2,0))),1)</f>
        <v/>
      </c>
      <c r="E497" s="15">
        <f>1-(1-D497)^(1/12)</f>
        <v/>
      </c>
      <c r="F497" s="16">
        <f>F496*(1-E496)</f>
        <v/>
      </c>
      <c r="G497" s="16">
        <f>1/(1+$C$7)^(A497/12)</f>
        <v/>
      </c>
      <c r="H497" s="16">
        <f>F497*G497</f>
        <v/>
      </c>
    </row>
    <row r="498">
      <c r="A498" s="14" t="n">
        <v>486</v>
      </c>
      <c r="B498">
        <f>$C$5+INT(A498/12)</f>
        <v/>
      </c>
      <c r="C498">
        <f>Parametros!$B$5+INT(A498/12)</f>
        <v/>
      </c>
      <c r="D498" s="15">
        <f>IFERROR(IF($C$4="H",INDEX(Mortalidad_H!$B$3:$BX$113,MATCH(B498,Mortalidad_H!$A$3:$A$113,0),MATCH(MIN(C498,2100),Mortalidad_H!$B$2:$BX$2,0)),INDEX(Mortalidad_M!$B$3:$BX$93,MATCH(B498,Mortalidad_M!$A$3:$A$93,0),MATCH(MIN(C498,2100),Mortalidad_M!$B$2:$BX$2,0))),1)</f>
        <v/>
      </c>
      <c r="E498" s="15">
        <f>1-(1-D498)^(1/12)</f>
        <v/>
      </c>
      <c r="F498" s="16">
        <f>F497*(1-E497)</f>
        <v/>
      </c>
      <c r="G498" s="16">
        <f>1/(1+$C$7)^(A498/12)</f>
        <v/>
      </c>
      <c r="H498" s="16">
        <f>F498*G498</f>
        <v/>
      </c>
    </row>
    <row r="499">
      <c r="A499" s="14" t="n">
        <v>487</v>
      </c>
      <c r="B499">
        <f>$C$5+INT(A499/12)</f>
        <v/>
      </c>
      <c r="C499">
        <f>Parametros!$B$5+INT(A499/12)</f>
        <v/>
      </c>
      <c r="D499" s="15">
        <f>IFERROR(IF($C$4="H",INDEX(Mortalidad_H!$B$3:$BX$113,MATCH(B499,Mortalidad_H!$A$3:$A$113,0),MATCH(MIN(C499,2100),Mortalidad_H!$B$2:$BX$2,0)),INDEX(Mortalidad_M!$B$3:$BX$93,MATCH(B499,Mortalidad_M!$A$3:$A$93,0),MATCH(MIN(C499,2100),Mortalidad_M!$B$2:$BX$2,0))),1)</f>
        <v/>
      </c>
      <c r="E499" s="15">
        <f>1-(1-D499)^(1/12)</f>
        <v/>
      </c>
      <c r="F499" s="16">
        <f>F498*(1-E498)</f>
        <v/>
      </c>
      <c r="G499" s="16">
        <f>1/(1+$C$7)^(A499/12)</f>
        <v/>
      </c>
      <c r="H499" s="16">
        <f>F499*G499</f>
        <v/>
      </c>
    </row>
    <row r="500">
      <c r="A500" s="14" t="n">
        <v>488</v>
      </c>
      <c r="B500">
        <f>$C$5+INT(A500/12)</f>
        <v/>
      </c>
      <c r="C500">
        <f>Parametros!$B$5+INT(A500/12)</f>
        <v/>
      </c>
      <c r="D500" s="15">
        <f>IFERROR(IF($C$4="H",INDEX(Mortalidad_H!$B$3:$BX$113,MATCH(B500,Mortalidad_H!$A$3:$A$113,0),MATCH(MIN(C500,2100),Mortalidad_H!$B$2:$BX$2,0)),INDEX(Mortalidad_M!$B$3:$BX$93,MATCH(B500,Mortalidad_M!$A$3:$A$93,0),MATCH(MIN(C500,2100),Mortalidad_M!$B$2:$BX$2,0))),1)</f>
        <v/>
      </c>
      <c r="E500" s="15">
        <f>1-(1-D500)^(1/12)</f>
        <v/>
      </c>
      <c r="F500" s="16">
        <f>F499*(1-E499)</f>
        <v/>
      </c>
      <c r="G500" s="16">
        <f>1/(1+$C$7)^(A500/12)</f>
        <v/>
      </c>
      <c r="H500" s="16">
        <f>F500*G500</f>
        <v/>
      </c>
    </row>
    <row r="501">
      <c r="A501" s="14" t="n">
        <v>489</v>
      </c>
      <c r="B501">
        <f>$C$5+INT(A501/12)</f>
        <v/>
      </c>
      <c r="C501">
        <f>Parametros!$B$5+INT(A501/12)</f>
        <v/>
      </c>
      <c r="D501" s="15">
        <f>IFERROR(IF($C$4="H",INDEX(Mortalidad_H!$B$3:$BX$113,MATCH(B501,Mortalidad_H!$A$3:$A$113,0),MATCH(MIN(C501,2100),Mortalidad_H!$B$2:$BX$2,0)),INDEX(Mortalidad_M!$B$3:$BX$93,MATCH(B501,Mortalidad_M!$A$3:$A$93,0),MATCH(MIN(C501,2100),Mortalidad_M!$B$2:$BX$2,0))),1)</f>
        <v/>
      </c>
      <c r="E501" s="15">
        <f>1-(1-D501)^(1/12)</f>
        <v/>
      </c>
      <c r="F501" s="16">
        <f>F500*(1-E500)</f>
        <v/>
      </c>
      <c r="G501" s="16">
        <f>1/(1+$C$7)^(A501/12)</f>
        <v/>
      </c>
      <c r="H501" s="16">
        <f>F501*G501</f>
        <v/>
      </c>
    </row>
    <row r="502">
      <c r="A502" s="14" t="n">
        <v>490</v>
      </c>
      <c r="B502">
        <f>$C$5+INT(A502/12)</f>
        <v/>
      </c>
      <c r="C502">
        <f>Parametros!$B$5+INT(A502/12)</f>
        <v/>
      </c>
      <c r="D502" s="15">
        <f>IFERROR(IF($C$4="H",INDEX(Mortalidad_H!$B$3:$BX$113,MATCH(B502,Mortalidad_H!$A$3:$A$113,0),MATCH(MIN(C502,2100),Mortalidad_H!$B$2:$BX$2,0)),INDEX(Mortalidad_M!$B$3:$BX$93,MATCH(B502,Mortalidad_M!$A$3:$A$93,0),MATCH(MIN(C502,2100),Mortalidad_M!$B$2:$BX$2,0))),1)</f>
        <v/>
      </c>
      <c r="E502" s="15">
        <f>1-(1-D502)^(1/12)</f>
        <v/>
      </c>
      <c r="F502" s="16">
        <f>F501*(1-E501)</f>
        <v/>
      </c>
      <c r="G502" s="16">
        <f>1/(1+$C$7)^(A502/12)</f>
        <v/>
      </c>
      <c r="H502" s="16">
        <f>F502*G502</f>
        <v/>
      </c>
    </row>
    <row r="503">
      <c r="A503" s="14" t="n">
        <v>491</v>
      </c>
      <c r="B503">
        <f>$C$5+INT(A503/12)</f>
        <v/>
      </c>
      <c r="C503">
        <f>Parametros!$B$5+INT(A503/12)</f>
        <v/>
      </c>
      <c r="D503" s="15">
        <f>IFERROR(IF($C$4="H",INDEX(Mortalidad_H!$B$3:$BX$113,MATCH(B503,Mortalidad_H!$A$3:$A$113,0),MATCH(MIN(C503,2100),Mortalidad_H!$B$2:$BX$2,0)),INDEX(Mortalidad_M!$B$3:$BX$93,MATCH(B503,Mortalidad_M!$A$3:$A$93,0),MATCH(MIN(C503,2100),Mortalidad_M!$B$2:$BX$2,0))),1)</f>
        <v/>
      </c>
      <c r="E503" s="15">
        <f>1-(1-D503)^(1/12)</f>
        <v/>
      </c>
      <c r="F503" s="16">
        <f>F502*(1-E502)</f>
        <v/>
      </c>
      <c r="G503" s="16">
        <f>1/(1+$C$7)^(A503/12)</f>
        <v/>
      </c>
      <c r="H503" s="16">
        <f>F503*G503</f>
        <v/>
      </c>
    </row>
    <row r="504">
      <c r="A504" s="14" t="n">
        <v>492</v>
      </c>
      <c r="B504">
        <f>$C$5+INT(A504/12)</f>
        <v/>
      </c>
      <c r="C504">
        <f>Parametros!$B$5+INT(A504/12)</f>
        <v/>
      </c>
      <c r="D504" s="15">
        <f>IFERROR(IF($C$4="H",INDEX(Mortalidad_H!$B$3:$BX$113,MATCH(B504,Mortalidad_H!$A$3:$A$113,0),MATCH(MIN(C504,2100),Mortalidad_H!$B$2:$BX$2,0)),INDEX(Mortalidad_M!$B$3:$BX$93,MATCH(B504,Mortalidad_M!$A$3:$A$93,0),MATCH(MIN(C504,2100),Mortalidad_M!$B$2:$BX$2,0))),1)</f>
        <v/>
      </c>
      <c r="E504" s="15">
        <f>1-(1-D504)^(1/12)</f>
        <v/>
      </c>
      <c r="F504" s="16">
        <f>F503*(1-E503)</f>
        <v/>
      </c>
      <c r="G504" s="16">
        <f>1/(1+$C$7)^(A504/12)</f>
        <v/>
      </c>
      <c r="H504" s="16">
        <f>F504*G504</f>
        <v/>
      </c>
    </row>
    <row r="505">
      <c r="A505" s="14" t="n">
        <v>493</v>
      </c>
      <c r="B505">
        <f>$C$5+INT(A505/12)</f>
        <v/>
      </c>
      <c r="C505">
        <f>Parametros!$B$5+INT(A505/12)</f>
        <v/>
      </c>
      <c r="D505" s="15">
        <f>IFERROR(IF($C$4="H",INDEX(Mortalidad_H!$B$3:$BX$113,MATCH(B505,Mortalidad_H!$A$3:$A$113,0),MATCH(MIN(C505,2100),Mortalidad_H!$B$2:$BX$2,0)),INDEX(Mortalidad_M!$B$3:$BX$93,MATCH(B505,Mortalidad_M!$A$3:$A$93,0),MATCH(MIN(C505,2100),Mortalidad_M!$B$2:$BX$2,0))),1)</f>
        <v/>
      </c>
      <c r="E505" s="15">
        <f>1-(1-D505)^(1/12)</f>
        <v/>
      </c>
      <c r="F505" s="16">
        <f>F504*(1-E504)</f>
        <v/>
      </c>
      <c r="G505" s="16">
        <f>1/(1+$C$7)^(A505/12)</f>
        <v/>
      </c>
      <c r="H505" s="16">
        <f>F505*G505</f>
        <v/>
      </c>
    </row>
    <row r="506">
      <c r="A506" s="14" t="n">
        <v>494</v>
      </c>
      <c r="B506">
        <f>$C$5+INT(A506/12)</f>
        <v/>
      </c>
      <c r="C506">
        <f>Parametros!$B$5+INT(A506/12)</f>
        <v/>
      </c>
      <c r="D506" s="15">
        <f>IFERROR(IF($C$4="H",INDEX(Mortalidad_H!$B$3:$BX$113,MATCH(B506,Mortalidad_H!$A$3:$A$113,0),MATCH(MIN(C506,2100),Mortalidad_H!$B$2:$BX$2,0)),INDEX(Mortalidad_M!$B$3:$BX$93,MATCH(B506,Mortalidad_M!$A$3:$A$93,0),MATCH(MIN(C506,2100),Mortalidad_M!$B$2:$BX$2,0))),1)</f>
        <v/>
      </c>
      <c r="E506" s="15">
        <f>1-(1-D506)^(1/12)</f>
        <v/>
      </c>
      <c r="F506" s="16">
        <f>F505*(1-E505)</f>
        <v/>
      </c>
      <c r="G506" s="16">
        <f>1/(1+$C$7)^(A506/12)</f>
        <v/>
      </c>
      <c r="H506" s="16">
        <f>F506*G506</f>
        <v/>
      </c>
    </row>
    <row r="507">
      <c r="A507" s="14" t="n">
        <v>495</v>
      </c>
      <c r="B507">
        <f>$C$5+INT(A507/12)</f>
        <v/>
      </c>
      <c r="C507">
        <f>Parametros!$B$5+INT(A507/12)</f>
        <v/>
      </c>
      <c r="D507" s="15">
        <f>IFERROR(IF($C$4="H",INDEX(Mortalidad_H!$B$3:$BX$113,MATCH(B507,Mortalidad_H!$A$3:$A$113,0),MATCH(MIN(C507,2100),Mortalidad_H!$B$2:$BX$2,0)),INDEX(Mortalidad_M!$B$3:$BX$93,MATCH(B507,Mortalidad_M!$A$3:$A$93,0),MATCH(MIN(C507,2100),Mortalidad_M!$B$2:$BX$2,0))),1)</f>
        <v/>
      </c>
      <c r="E507" s="15">
        <f>1-(1-D507)^(1/12)</f>
        <v/>
      </c>
      <c r="F507" s="16">
        <f>F506*(1-E506)</f>
        <v/>
      </c>
      <c r="G507" s="16">
        <f>1/(1+$C$7)^(A507/12)</f>
        <v/>
      </c>
      <c r="H507" s="16">
        <f>F507*G507</f>
        <v/>
      </c>
    </row>
    <row r="508">
      <c r="A508" s="14" t="n">
        <v>496</v>
      </c>
      <c r="B508">
        <f>$C$5+INT(A508/12)</f>
        <v/>
      </c>
      <c r="C508">
        <f>Parametros!$B$5+INT(A508/12)</f>
        <v/>
      </c>
      <c r="D508" s="15">
        <f>IFERROR(IF($C$4="H",INDEX(Mortalidad_H!$B$3:$BX$113,MATCH(B508,Mortalidad_H!$A$3:$A$113,0),MATCH(MIN(C508,2100),Mortalidad_H!$B$2:$BX$2,0)),INDEX(Mortalidad_M!$B$3:$BX$93,MATCH(B508,Mortalidad_M!$A$3:$A$93,0),MATCH(MIN(C508,2100),Mortalidad_M!$B$2:$BX$2,0))),1)</f>
        <v/>
      </c>
      <c r="E508" s="15">
        <f>1-(1-D508)^(1/12)</f>
        <v/>
      </c>
      <c r="F508" s="16">
        <f>F507*(1-E507)</f>
        <v/>
      </c>
      <c r="G508" s="16">
        <f>1/(1+$C$7)^(A508/12)</f>
        <v/>
      </c>
      <c r="H508" s="16">
        <f>F508*G508</f>
        <v/>
      </c>
    </row>
    <row r="509">
      <c r="A509" s="14" t="n">
        <v>497</v>
      </c>
      <c r="B509">
        <f>$C$5+INT(A509/12)</f>
        <v/>
      </c>
      <c r="C509">
        <f>Parametros!$B$5+INT(A509/12)</f>
        <v/>
      </c>
      <c r="D509" s="15">
        <f>IFERROR(IF($C$4="H",INDEX(Mortalidad_H!$B$3:$BX$113,MATCH(B509,Mortalidad_H!$A$3:$A$113,0),MATCH(MIN(C509,2100),Mortalidad_H!$B$2:$BX$2,0)),INDEX(Mortalidad_M!$B$3:$BX$93,MATCH(B509,Mortalidad_M!$A$3:$A$93,0),MATCH(MIN(C509,2100),Mortalidad_M!$B$2:$BX$2,0))),1)</f>
        <v/>
      </c>
      <c r="E509" s="15">
        <f>1-(1-D509)^(1/12)</f>
        <v/>
      </c>
      <c r="F509" s="16">
        <f>F508*(1-E508)</f>
        <v/>
      </c>
      <c r="G509" s="16">
        <f>1/(1+$C$7)^(A509/12)</f>
        <v/>
      </c>
      <c r="H509" s="16">
        <f>F509*G509</f>
        <v/>
      </c>
    </row>
    <row r="510">
      <c r="A510" s="14" t="n">
        <v>498</v>
      </c>
      <c r="B510">
        <f>$C$5+INT(A510/12)</f>
        <v/>
      </c>
      <c r="C510">
        <f>Parametros!$B$5+INT(A510/12)</f>
        <v/>
      </c>
      <c r="D510" s="15">
        <f>IFERROR(IF($C$4="H",INDEX(Mortalidad_H!$B$3:$BX$113,MATCH(B510,Mortalidad_H!$A$3:$A$113,0),MATCH(MIN(C510,2100),Mortalidad_H!$B$2:$BX$2,0)),INDEX(Mortalidad_M!$B$3:$BX$93,MATCH(B510,Mortalidad_M!$A$3:$A$93,0),MATCH(MIN(C510,2100),Mortalidad_M!$B$2:$BX$2,0))),1)</f>
        <v/>
      </c>
      <c r="E510" s="15">
        <f>1-(1-D510)^(1/12)</f>
        <v/>
      </c>
      <c r="F510" s="16">
        <f>F509*(1-E509)</f>
        <v/>
      </c>
      <c r="G510" s="16">
        <f>1/(1+$C$7)^(A510/12)</f>
        <v/>
      </c>
      <c r="H510" s="16">
        <f>F510*G510</f>
        <v/>
      </c>
    </row>
    <row r="511">
      <c r="A511" s="14" t="n">
        <v>499</v>
      </c>
      <c r="B511">
        <f>$C$5+INT(A511/12)</f>
        <v/>
      </c>
      <c r="C511">
        <f>Parametros!$B$5+INT(A511/12)</f>
        <v/>
      </c>
      <c r="D511" s="15">
        <f>IFERROR(IF($C$4="H",INDEX(Mortalidad_H!$B$3:$BX$113,MATCH(B511,Mortalidad_H!$A$3:$A$113,0),MATCH(MIN(C511,2100),Mortalidad_H!$B$2:$BX$2,0)),INDEX(Mortalidad_M!$B$3:$BX$93,MATCH(B511,Mortalidad_M!$A$3:$A$93,0),MATCH(MIN(C511,2100),Mortalidad_M!$B$2:$BX$2,0))),1)</f>
        <v/>
      </c>
      <c r="E511" s="15">
        <f>1-(1-D511)^(1/12)</f>
        <v/>
      </c>
      <c r="F511" s="16">
        <f>F510*(1-E510)</f>
        <v/>
      </c>
      <c r="G511" s="16">
        <f>1/(1+$C$7)^(A511/12)</f>
        <v/>
      </c>
      <c r="H511" s="16">
        <f>F511*G511</f>
        <v/>
      </c>
    </row>
    <row r="512">
      <c r="A512" s="14" t="n">
        <v>500</v>
      </c>
      <c r="B512">
        <f>$C$5+INT(A512/12)</f>
        <v/>
      </c>
      <c r="C512">
        <f>Parametros!$B$5+INT(A512/12)</f>
        <v/>
      </c>
      <c r="D512" s="15">
        <f>IFERROR(IF($C$4="H",INDEX(Mortalidad_H!$B$3:$BX$113,MATCH(B512,Mortalidad_H!$A$3:$A$113,0),MATCH(MIN(C512,2100),Mortalidad_H!$B$2:$BX$2,0)),INDEX(Mortalidad_M!$B$3:$BX$93,MATCH(B512,Mortalidad_M!$A$3:$A$93,0),MATCH(MIN(C512,2100),Mortalidad_M!$B$2:$BX$2,0))),1)</f>
        <v/>
      </c>
      <c r="E512" s="15">
        <f>1-(1-D512)^(1/12)</f>
        <v/>
      </c>
      <c r="F512" s="16">
        <f>F511*(1-E511)</f>
        <v/>
      </c>
      <c r="G512" s="16">
        <f>1/(1+$C$7)^(A512/12)</f>
        <v/>
      </c>
      <c r="H512" s="16">
        <f>F512*G512</f>
        <v/>
      </c>
    </row>
    <row r="513">
      <c r="A513" s="14" t="n">
        <v>501</v>
      </c>
      <c r="B513">
        <f>$C$5+INT(A513/12)</f>
        <v/>
      </c>
      <c r="C513">
        <f>Parametros!$B$5+INT(A513/12)</f>
        <v/>
      </c>
      <c r="D513" s="15">
        <f>IFERROR(IF($C$4="H",INDEX(Mortalidad_H!$B$3:$BX$113,MATCH(B513,Mortalidad_H!$A$3:$A$113,0),MATCH(MIN(C513,2100),Mortalidad_H!$B$2:$BX$2,0)),INDEX(Mortalidad_M!$B$3:$BX$93,MATCH(B513,Mortalidad_M!$A$3:$A$93,0),MATCH(MIN(C513,2100),Mortalidad_M!$B$2:$BX$2,0))),1)</f>
        <v/>
      </c>
      <c r="E513" s="15">
        <f>1-(1-D513)^(1/12)</f>
        <v/>
      </c>
      <c r="F513" s="16">
        <f>F512*(1-E512)</f>
        <v/>
      </c>
      <c r="G513" s="16">
        <f>1/(1+$C$7)^(A513/12)</f>
        <v/>
      </c>
      <c r="H513" s="16">
        <f>F513*G513</f>
        <v/>
      </c>
    </row>
    <row r="514">
      <c r="A514" s="14" t="n">
        <v>502</v>
      </c>
      <c r="B514">
        <f>$C$5+INT(A514/12)</f>
        <v/>
      </c>
      <c r="C514">
        <f>Parametros!$B$5+INT(A514/12)</f>
        <v/>
      </c>
      <c r="D514" s="15">
        <f>IFERROR(IF($C$4="H",INDEX(Mortalidad_H!$B$3:$BX$113,MATCH(B514,Mortalidad_H!$A$3:$A$113,0),MATCH(MIN(C514,2100),Mortalidad_H!$B$2:$BX$2,0)),INDEX(Mortalidad_M!$B$3:$BX$93,MATCH(B514,Mortalidad_M!$A$3:$A$93,0),MATCH(MIN(C514,2100),Mortalidad_M!$B$2:$BX$2,0))),1)</f>
        <v/>
      </c>
      <c r="E514" s="15">
        <f>1-(1-D514)^(1/12)</f>
        <v/>
      </c>
      <c r="F514" s="16">
        <f>F513*(1-E513)</f>
        <v/>
      </c>
      <c r="G514" s="16">
        <f>1/(1+$C$7)^(A514/12)</f>
        <v/>
      </c>
      <c r="H514" s="16">
        <f>F514*G514</f>
        <v/>
      </c>
    </row>
    <row r="515">
      <c r="A515" s="14" t="n">
        <v>503</v>
      </c>
      <c r="B515">
        <f>$C$5+INT(A515/12)</f>
        <v/>
      </c>
      <c r="C515">
        <f>Parametros!$B$5+INT(A515/12)</f>
        <v/>
      </c>
      <c r="D515" s="15">
        <f>IFERROR(IF($C$4="H",INDEX(Mortalidad_H!$B$3:$BX$113,MATCH(B515,Mortalidad_H!$A$3:$A$113,0),MATCH(MIN(C515,2100),Mortalidad_H!$B$2:$BX$2,0)),INDEX(Mortalidad_M!$B$3:$BX$93,MATCH(B515,Mortalidad_M!$A$3:$A$93,0),MATCH(MIN(C515,2100),Mortalidad_M!$B$2:$BX$2,0))),1)</f>
        <v/>
      </c>
      <c r="E515" s="15">
        <f>1-(1-D515)^(1/12)</f>
        <v/>
      </c>
      <c r="F515" s="16">
        <f>F514*(1-E514)</f>
        <v/>
      </c>
      <c r="G515" s="16">
        <f>1/(1+$C$7)^(A515/12)</f>
        <v/>
      </c>
      <c r="H515" s="16">
        <f>F515*G515</f>
        <v/>
      </c>
    </row>
    <row r="516">
      <c r="A516" s="14" t="n">
        <v>504</v>
      </c>
      <c r="B516">
        <f>$C$5+INT(A516/12)</f>
        <v/>
      </c>
      <c r="C516">
        <f>Parametros!$B$5+INT(A516/12)</f>
        <v/>
      </c>
      <c r="D516" s="15">
        <f>IFERROR(IF($C$4="H",INDEX(Mortalidad_H!$B$3:$BX$113,MATCH(B516,Mortalidad_H!$A$3:$A$113,0),MATCH(MIN(C516,2100),Mortalidad_H!$B$2:$BX$2,0)),INDEX(Mortalidad_M!$B$3:$BX$93,MATCH(B516,Mortalidad_M!$A$3:$A$93,0),MATCH(MIN(C516,2100),Mortalidad_M!$B$2:$BX$2,0))),1)</f>
        <v/>
      </c>
      <c r="E516" s="15">
        <f>1-(1-D516)^(1/12)</f>
        <v/>
      </c>
      <c r="F516" s="16">
        <f>F515*(1-E515)</f>
        <v/>
      </c>
      <c r="G516" s="16">
        <f>1/(1+$C$7)^(A516/12)</f>
        <v/>
      </c>
      <c r="H516" s="16">
        <f>F516*G516</f>
        <v/>
      </c>
    </row>
    <row r="517">
      <c r="A517" s="14" t="n">
        <v>505</v>
      </c>
      <c r="B517">
        <f>$C$5+INT(A517/12)</f>
        <v/>
      </c>
      <c r="C517">
        <f>Parametros!$B$5+INT(A517/12)</f>
        <v/>
      </c>
      <c r="D517" s="15">
        <f>IFERROR(IF($C$4="H",INDEX(Mortalidad_H!$B$3:$BX$113,MATCH(B517,Mortalidad_H!$A$3:$A$113,0),MATCH(MIN(C517,2100),Mortalidad_H!$B$2:$BX$2,0)),INDEX(Mortalidad_M!$B$3:$BX$93,MATCH(B517,Mortalidad_M!$A$3:$A$93,0),MATCH(MIN(C517,2100),Mortalidad_M!$B$2:$BX$2,0))),1)</f>
        <v/>
      </c>
      <c r="E517" s="15">
        <f>1-(1-D517)^(1/12)</f>
        <v/>
      </c>
      <c r="F517" s="16">
        <f>F516*(1-E516)</f>
        <v/>
      </c>
      <c r="G517" s="16">
        <f>1/(1+$C$7)^(A517/12)</f>
        <v/>
      </c>
      <c r="H517" s="16">
        <f>F517*G517</f>
        <v/>
      </c>
    </row>
    <row r="518">
      <c r="A518" s="14" t="n">
        <v>506</v>
      </c>
      <c r="B518">
        <f>$C$5+INT(A518/12)</f>
        <v/>
      </c>
      <c r="C518">
        <f>Parametros!$B$5+INT(A518/12)</f>
        <v/>
      </c>
      <c r="D518" s="15">
        <f>IFERROR(IF($C$4="H",INDEX(Mortalidad_H!$B$3:$BX$113,MATCH(B518,Mortalidad_H!$A$3:$A$113,0),MATCH(MIN(C518,2100),Mortalidad_H!$B$2:$BX$2,0)),INDEX(Mortalidad_M!$B$3:$BX$93,MATCH(B518,Mortalidad_M!$A$3:$A$93,0),MATCH(MIN(C518,2100),Mortalidad_M!$B$2:$BX$2,0))),1)</f>
        <v/>
      </c>
      <c r="E518" s="15">
        <f>1-(1-D518)^(1/12)</f>
        <v/>
      </c>
      <c r="F518" s="16">
        <f>F517*(1-E517)</f>
        <v/>
      </c>
      <c r="G518" s="16">
        <f>1/(1+$C$7)^(A518/12)</f>
        <v/>
      </c>
      <c r="H518" s="16">
        <f>F518*G518</f>
        <v/>
      </c>
    </row>
    <row r="519">
      <c r="A519" s="14" t="n">
        <v>507</v>
      </c>
      <c r="B519">
        <f>$C$5+INT(A519/12)</f>
        <v/>
      </c>
      <c r="C519">
        <f>Parametros!$B$5+INT(A519/12)</f>
        <v/>
      </c>
      <c r="D519" s="15">
        <f>IFERROR(IF($C$4="H",INDEX(Mortalidad_H!$B$3:$BX$113,MATCH(B519,Mortalidad_H!$A$3:$A$113,0),MATCH(MIN(C519,2100),Mortalidad_H!$B$2:$BX$2,0)),INDEX(Mortalidad_M!$B$3:$BX$93,MATCH(B519,Mortalidad_M!$A$3:$A$93,0),MATCH(MIN(C519,2100),Mortalidad_M!$B$2:$BX$2,0))),1)</f>
        <v/>
      </c>
      <c r="E519" s="15">
        <f>1-(1-D519)^(1/12)</f>
        <v/>
      </c>
      <c r="F519" s="16">
        <f>F518*(1-E518)</f>
        <v/>
      </c>
      <c r="G519" s="16">
        <f>1/(1+$C$7)^(A519/12)</f>
        <v/>
      </c>
      <c r="H519" s="16">
        <f>F519*G519</f>
        <v/>
      </c>
    </row>
    <row r="520">
      <c r="A520" s="14" t="n">
        <v>508</v>
      </c>
      <c r="B520">
        <f>$C$5+INT(A520/12)</f>
        <v/>
      </c>
      <c r="C520">
        <f>Parametros!$B$5+INT(A520/12)</f>
        <v/>
      </c>
      <c r="D520" s="15">
        <f>IFERROR(IF($C$4="H",INDEX(Mortalidad_H!$B$3:$BX$113,MATCH(B520,Mortalidad_H!$A$3:$A$113,0),MATCH(MIN(C520,2100),Mortalidad_H!$B$2:$BX$2,0)),INDEX(Mortalidad_M!$B$3:$BX$93,MATCH(B520,Mortalidad_M!$A$3:$A$93,0),MATCH(MIN(C520,2100),Mortalidad_M!$B$2:$BX$2,0))),1)</f>
        <v/>
      </c>
      <c r="E520" s="15">
        <f>1-(1-D520)^(1/12)</f>
        <v/>
      </c>
      <c r="F520" s="16">
        <f>F519*(1-E519)</f>
        <v/>
      </c>
      <c r="G520" s="16">
        <f>1/(1+$C$7)^(A520/12)</f>
        <v/>
      </c>
      <c r="H520" s="16">
        <f>F520*G520</f>
        <v/>
      </c>
    </row>
    <row r="521">
      <c r="A521" s="14" t="n">
        <v>509</v>
      </c>
      <c r="B521">
        <f>$C$5+INT(A521/12)</f>
        <v/>
      </c>
      <c r="C521">
        <f>Parametros!$B$5+INT(A521/12)</f>
        <v/>
      </c>
      <c r="D521" s="15">
        <f>IFERROR(IF($C$4="H",INDEX(Mortalidad_H!$B$3:$BX$113,MATCH(B521,Mortalidad_H!$A$3:$A$113,0),MATCH(MIN(C521,2100),Mortalidad_H!$B$2:$BX$2,0)),INDEX(Mortalidad_M!$B$3:$BX$93,MATCH(B521,Mortalidad_M!$A$3:$A$93,0),MATCH(MIN(C521,2100),Mortalidad_M!$B$2:$BX$2,0))),1)</f>
        <v/>
      </c>
      <c r="E521" s="15">
        <f>1-(1-D521)^(1/12)</f>
        <v/>
      </c>
      <c r="F521" s="16">
        <f>F520*(1-E520)</f>
        <v/>
      </c>
      <c r="G521" s="16">
        <f>1/(1+$C$7)^(A521/12)</f>
        <v/>
      </c>
      <c r="H521" s="16">
        <f>F521*G521</f>
        <v/>
      </c>
    </row>
    <row r="522">
      <c r="A522" s="14" t="n">
        <v>510</v>
      </c>
      <c r="B522">
        <f>$C$5+INT(A522/12)</f>
        <v/>
      </c>
      <c r="C522">
        <f>Parametros!$B$5+INT(A522/12)</f>
        <v/>
      </c>
      <c r="D522" s="15">
        <f>IFERROR(IF($C$4="H",INDEX(Mortalidad_H!$B$3:$BX$113,MATCH(B522,Mortalidad_H!$A$3:$A$113,0),MATCH(MIN(C522,2100),Mortalidad_H!$B$2:$BX$2,0)),INDEX(Mortalidad_M!$B$3:$BX$93,MATCH(B522,Mortalidad_M!$A$3:$A$93,0),MATCH(MIN(C522,2100),Mortalidad_M!$B$2:$BX$2,0))),1)</f>
        <v/>
      </c>
      <c r="E522" s="15">
        <f>1-(1-D522)^(1/12)</f>
        <v/>
      </c>
      <c r="F522" s="16">
        <f>F521*(1-E521)</f>
        <v/>
      </c>
      <c r="G522" s="16">
        <f>1/(1+$C$7)^(A522/12)</f>
        <v/>
      </c>
      <c r="H522" s="16">
        <f>F522*G522</f>
        <v/>
      </c>
    </row>
    <row r="523">
      <c r="A523" s="14" t="n">
        <v>511</v>
      </c>
      <c r="B523">
        <f>$C$5+INT(A523/12)</f>
        <v/>
      </c>
      <c r="C523">
        <f>Parametros!$B$5+INT(A523/12)</f>
        <v/>
      </c>
      <c r="D523" s="15">
        <f>IFERROR(IF($C$4="H",INDEX(Mortalidad_H!$B$3:$BX$113,MATCH(B523,Mortalidad_H!$A$3:$A$113,0),MATCH(MIN(C523,2100),Mortalidad_H!$B$2:$BX$2,0)),INDEX(Mortalidad_M!$B$3:$BX$93,MATCH(B523,Mortalidad_M!$A$3:$A$93,0),MATCH(MIN(C523,2100),Mortalidad_M!$B$2:$BX$2,0))),1)</f>
        <v/>
      </c>
      <c r="E523" s="15">
        <f>1-(1-D523)^(1/12)</f>
        <v/>
      </c>
      <c r="F523" s="16">
        <f>F522*(1-E522)</f>
        <v/>
      </c>
      <c r="G523" s="16">
        <f>1/(1+$C$7)^(A523/12)</f>
        <v/>
      </c>
      <c r="H523" s="16">
        <f>F523*G523</f>
        <v/>
      </c>
    </row>
    <row r="524">
      <c r="A524" s="14" t="n">
        <v>512</v>
      </c>
      <c r="B524">
        <f>$C$5+INT(A524/12)</f>
        <v/>
      </c>
      <c r="C524">
        <f>Parametros!$B$5+INT(A524/12)</f>
        <v/>
      </c>
      <c r="D524" s="15">
        <f>IFERROR(IF($C$4="H",INDEX(Mortalidad_H!$B$3:$BX$113,MATCH(B524,Mortalidad_H!$A$3:$A$113,0),MATCH(MIN(C524,2100),Mortalidad_H!$B$2:$BX$2,0)),INDEX(Mortalidad_M!$B$3:$BX$93,MATCH(B524,Mortalidad_M!$A$3:$A$93,0),MATCH(MIN(C524,2100),Mortalidad_M!$B$2:$BX$2,0))),1)</f>
        <v/>
      </c>
      <c r="E524" s="15">
        <f>1-(1-D524)^(1/12)</f>
        <v/>
      </c>
      <c r="F524" s="16">
        <f>F523*(1-E523)</f>
        <v/>
      </c>
      <c r="G524" s="16">
        <f>1/(1+$C$7)^(A524/12)</f>
        <v/>
      </c>
      <c r="H524" s="16">
        <f>F524*G524</f>
        <v/>
      </c>
    </row>
    <row r="525">
      <c r="A525" s="14" t="n">
        <v>513</v>
      </c>
      <c r="B525">
        <f>$C$5+INT(A525/12)</f>
        <v/>
      </c>
      <c r="C525">
        <f>Parametros!$B$5+INT(A525/12)</f>
        <v/>
      </c>
      <c r="D525" s="15">
        <f>IFERROR(IF($C$4="H",INDEX(Mortalidad_H!$B$3:$BX$113,MATCH(B525,Mortalidad_H!$A$3:$A$113,0),MATCH(MIN(C525,2100),Mortalidad_H!$B$2:$BX$2,0)),INDEX(Mortalidad_M!$B$3:$BX$93,MATCH(B525,Mortalidad_M!$A$3:$A$93,0),MATCH(MIN(C525,2100),Mortalidad_M!$B$2:$BX$2,0))),1)</f>
        <v/>
      </c>
      <c r="E525" s="15">
        <f>1-(1-D525)^(1/12)</f>
        <v/>
      </c>
      <c r="F525" s="16">
        <f>F524*(1-E524)</f>
        <v/>
      </c>
      <c r="G525" s="16">
        <f>1/(1+$C$7)^(A525/12)</f>
        <v/>
      </c>
      <c r="H525" s="16">
        <f>F525*G525</f>
        <v/>
      </c>
    </row>
    <row r="526">
      <c r="A526" s="14" t="n">
        <v>514</v>
      </c>
      <c r="B526">
        <f>$C$5+INT(A526/12)</f>
        <v/>
      </c>
      <c r="C526">
        <f>Parametros!$B$5+INT(A526/12)</f>
        <v/>
      </c>
      <c r="D526" s="15">
        <f>IFERROR(IF($C$4="H",INDEX(Mortalidad_H!$B$3:$BX$113,MATCH(B526,Mortalidad_H!$A$3:$A$113,0),MATCH(MIN(C526,2100),Mortalidad_H!$B$2:$BX$2,0)),INDEX(Mortalidad_M!$B$3:$BX$93,MATCH(B526,Mortalidad_M!$A$3:$A$93,0),MATCH(MIN(C526,2100),Mortalidad_M!$B$2:$BX$2,0))),1)</f>
        <v/>
      </c>
      <c r="E526" s="15">
        <f>1-(1-D526)^(1/12)</f>
        <v/>
      </c>
      <c r="F526" s="16">
        <f>F525*(1-E525)</f>
        <v/>
      </c>
      <c r="G526" s="16">
        <f>1/(1+$C$7)^(A526/12)</f>
        <v/>
      </c>
      <c r="H526" s="16">
        <f>F526*G526</f>
        <v/>
      </c>
    </row>
    <row r="527">
      <c r="A527" s="14" t="n">
        <v>515</v>
      </c>
      <c r="B527">
        <f>$C$5+INT(A527/12)</f>
        <v/>
      </c>
      <c r="C527">
        <f>Parametros!$B$5+INT(A527/12)</f>
        <v/>
      </c>
      <c r="D527" s="15">
        <f>IFERROR(IF($C$4="H",INDEX(Mortalidad_H!$B$3:$BX$113,MATCH(B527,Mortalidad_H!$A$3:$A$113,0),MATCH(MIN(C527,2100),Mortalidad_H!$B$2:$BX$2,0)),INDEX(Mortalidad_M!$B$3:$BX$93,MATCH(B527,Mortalidad_M!$A$3:$A$93,0),MATCH(MIN(C527,2100),Mortalidad_M!$B$2:$BX$2,0))),1)</f>
        <v/>
      </c>
      <c r="E527" s="15">
        <f>1-(1-D527)^(1/12)</f>
        <v/>
      </c>
      <c r="F527" s="16">
        <f>F526*(1-E526)</f>
        <v/>
      </c>
      <c r="G527" s="16">
        <f>1/(1+$C$7)^(A527/12)</f>
        <v/>
      </c>
      <c r="H527" s="16">
        <f>F527*G527</f>
        <v/>
      </c>
    </row>
    <row r="528">
      <c r="A528" s="14" t="n">
        <v>516</v>
      </c>
      <c r="B528">
        <f>$C$5+INT(A528/12)</f>
        <v/>
      </c>
      <c r="C528">
        <f>Parametros!$B$5+INT(A528/12)</f>
        <v/>
      </c>
      <c r="D528" s="15">
        <f>IFERROR(IF($C$4="H",INDEX(Mortalidad_H!$B$3:$BX$113,MATCH(B528,Mortalidad_H!$A$3:$A$113,0),MATCH(MIN(C528,2100),Mortalidad_H!$B$2:$BX$2,0)),INDEX(Mortalidad_M!$B$3:$BX$93,MATCH(B528,Mortalidad_M!$A$3:$A$93,0),MATCH(MIN(C528,2100),Mortalidad_M!$B$2:$BX$2,0))),1)</f>
        <v/>
      </c>
      <c r="E528" s="15">
        <f>1-(1-D528)^(1/12)</f>
        <v/>
      </c>
      <c r="F528" s="16">
        <f>F527*(1-E527)</f>
        <v/>
      </c>
      <c r="G528" s="16">
        <f>1/(1+$C$7)^(A528/12)</f>
        <v/>
      </c>
      <c r="H528" s="16">
        <f>F528*G528</f>
        <v/>
      </c>
    </row>
    <row r="529">
      <c r="A529" s="14" t="n">
        <v>517</v>
      </c>
      <c r="B529">
        <f>$C$5+INT(A529/12)</f>
        <v/>
      </c>
      <c r="C529">
        <f>Parametros!$B$5+INT(A529/12)</f>
        <v/>
      </c>
      <c r="D529" s="15">
        <f>IFERROR(IF($C$4="H",INDEX(Mortalidad_H!$B$3:$BX$113,MATCH(B529,Mortalidad_H!$A$3:$A$113,0),MATCH(MIN(C529,2100),Mortalidad_H!$B$2:$BX$2,0)),INDEX(Mortalidad_M!$B$3:$BX$93,MATCH(B529,Mortalidad_M!$A$3:$A$93,0),MATCH(MIN(C529,2100),Mortalidad_M!$B$2:$BX$2,0))),1)</f>
        <v/>
      </c>
      <c r="E529" s="15">
        <f>1-(1-D529)^(1/12)</f>
        <v/>
      </c>
      <c r="F529" s="16">
        <f>F528*(1-E528)</f>
        <v/>
      </c>
      <c r="G529" s="16">
        <f>1/(1+$C$7)^(A529/12)</f>
        <v/>
      </c>
      <c r="H529" s="16">
        <f>F529*G529</f>
        <v/>
      </c>
    </row>
    <row r="530">
      <c r="A530" s="14" t="n">
        <v>518</v>
      </c>
      <c r="B530">
        <f>$C$5+INT(A530/12)</f>
        <v/>
      </c>
      <c r="C530">
        <f>Parametros!$B$5+INT(A530/12)</f>
        <v/>
      </c>
      <c r="D530" s="15">
        <f>IFERROR(IF($C$4="H",INDEX(Mortalidad_H!$B$3:$BX$113,MATCH(B530,Mortalidad_H!$A$3:$A$113,0),MATCH(MIN(C530,2100),Mortalidad_H!$B$2:$BX$2,0)),INDEX(Mortalidad_M!$B$3:$BX$93,MATCH(B530,Mortalidad_M!$A$3:$A$93,0),MATCH(MIN(C530,2100),Mortalidad_M!$B$2:$BX$2,0))),1)</f>
        <v/>
      </c>
      <c r="E530" s="15">
        <f>1-(1-D530)^(1/12)</f>
        <v/>
      </c>
      <c r="F530" s="16">
        <f>F529*(1-E529)</f>
        <v/>
      </c>
      <c r="G530" s="16">
        <f>1/(1+$C$7)^(A530/12)</f>
        <v/>
      </c>
      <c r="H530" s="16">
        <f>F530*G530</f>
        <v/>
      </c>
    </row>
    <row r="531">
      <c r="A531" s="14" t="n">
        <v>519</v>
      </c>
      <c r="B531">
        <f>$C$5+INT(A531/12)</f>
        <v/>
      </c>
      <c r="C531">
        <f>Parametros!$B$5+INT(A531/12)</f>
        <v/>
      </c>
      <c r="D531" s="15">
        <f>IFERROR(IF($C$4="H",INDEX(Mortalidad_H!$B$3:$BX$113,MATCH(B531,Mortalidad_H!$A$3:$A$113,0),MATCH(MIN(C531,2100),Mortalidad_H!$B$2:$BX$2,0)),INDEX(Mortalidad_M!$B$3:$BX$93,MATCH(B531,Mortalidad_M!$A$3:$A$93,0),MATCH(MIN(C531,2100),Mortalidad_M!$B$2:$BX$2,0))),1)</f>
        <v/>
      </c>
      <c r="E531" s="15">
        <f>1-(1-D531)^(1/12)</f>
        <v/>
      </c>
      <c r="F531" s="16">
        <f>F530*(1-E530)</f>
        <v/>
      </c>
      <c r="G531" s="16">
        <f>1/(1+$C$7)^(A531/12)</f>
        <v/>
      </c>
      <c r="H531" s="16">
        <f>F531*G531</f>
        <v/>
      </c>
    </row>
    <row r="532">
      <c r="A532" s="14" t="n">
        <v>520</v>
      </c>
      <c r="B532">
        <f>$C$5+INT(A532/12)</f>
        <v/>
      </c>
      <c r="C532">
        <f>Parametros!$B$5+INT(A532/12)</f>
        <v/>
      </c>
      <c r="D532" s="15">
        <f>IFERROR(IF($C$4="H",INDEX(Mortalidad_H!$B$3:$BX$113,MATCH(B532,Mortalidad_H!$A$3:$A$113,0),MATCH(MIN(C532,2100),Mortalidad_H!$B$2:$BX$2,0)),INDEX(Mortalidad_M!$B$3:$BX$93,MATCH(B532,Mortalidad_M!$A$3:$A$93,0),MATCH(MIN(C532,2100),Mortalidad_M!$B$2:$BX$2,0))),1)</f>
        <v/>
      </c>
      <c r="E532" s="15">
        <f>1-(1-D532)^(1/12)</f>
        <v/>
      </c>
      <c r="F532" s="16">
        <f>F531*(1-E531)</f>
        <v/>
      </c>
      <c r="G532" s="16">
        <f>1/(1+$C$7)^(A532/12)</f>
        <v/>
      </c>
      <c r="H532" s="16">
        <f>F532*G532</f>
        <v/>
      </c>
    </row>
    <row r="533">
      <c r="A533" s="14" t="n">
        <v>521</v>
      </c>
      <c r="B533">
        <f>$C$5+INT(A533/12)</f>
        <v/>
      </c>
      <c r="C533">
        <f>Parametros!$B$5+INT(A533/12)</f>
        <v/>
      </c>
      <c r="D533" s="15">
        <f>IFERROR(IF($C$4="H",INDEX(Mortalidad_H!$B$3:$BX$113,MATCH(B533,Mortalidad_H!$A$3:$A$113,0),MATCH(MIN(C533,2100),Mortalidad_H!$B$2:$BX$2,0)),INDEX(Mortalidad_M!$B$3:$BX$93,MATCH(B533,Mortalidad_M!$A$3:$A$93,0),MATCH(MIN(C533,2100),Mortalidad_M!$B$2:$BX$2,0))),1)</f>
        <v/>
      </c>
      <c r="E533" s="15">
        <f>1-(1-D533)^(1/12)</f>
        <v/>
      </c>
      <c r="F533" s="16">
        <f>F532*(1-E532)</f>
        <v/>
      </c>
      <c r="G533" s="16">
        <f>1/(1+$C$7)^(A533/12)</f>
        <v/>
      </c>
      <c r="H533" s="16">
        <f>F533*G533</f>
        <v/>
      </c>
    </row>
    <row r="534">
      <c r="A534" s="14" t="n">
        <v>522</v>
      </c>
      <c r="B534">
        <f>$C$5+INT(A534/12)</f>
        <v/>
      </c>
      <c r="C534">
        <f>Parametros!$B$5+INT(A534/12)</f>
        <v/>
      </c>
      <c r="D534" s="15">
        <f>IFERROR(IF($C$4="H",INDEX(Mortalidad_H!$B$3:$BX$113,MATCH(B534,Mortalidad_H!$A$3:$A$113,0),MATCH(MIN(C534,2100),Mortalidad_H!$B$2:$BX$2,0)),INDEX(Mortalidad_M!$B$3:$BX$93,MATCH(B534,Mortalidad_M!$A$3:$A$93,0),MATCH(MIN(C534,2100),Mortalidad_M!$B$2:$BX$2,0))),1)</f>
        <v/>
      </c>
      <c r="E534" s="15">
        <f>1-(1-D534)^(1/12)</f>
        <v/>
      </c>
      <c r="F534" s="16">
        <f>F533*(1-E533)</f>
        <v/>
      </c>
      <c r="G534" s="16">
        <f>1/(1+$C$7)^(A534/12)</f>
        <v/>
      </c>
      <c r="H534" s="16">
        <f>F534*G534</f>
        <v/>
      </c>
    </row>
    <row r="535">
      <c r="A535" s="14" t="n">
        <v>523</v>
      </c>
      <c r="B535">
        <f>$C$5+INT(A535/12)</f>
        <v/>
      </c>
      <c r="C535">
        <f>Parametros!$B$5+INT(A535/12)</f>
        <v/>
      </c>
      <c r="D535" s="15">
        <f>IFERROR(IF($C$4="H",INDEX(Mortalidad_H!$B$3:$BX$113,MATCH(B535,Mortalidad_H!$A$3:$A$113,0),MATCH(MIN(C535,2100),Mortalidad_H!$B$2:$BX$2,0)),INDEX(Mortalidad_M!$B$3:$BX$93,MATCH(B535,Mortalidad_M!$A$3:$A$93,0),MATCH(MIN(C535,2100),Mortalidad_M!$B$2:$BX$2,0))),1)</f>
        <v/>
      </c>
      <c r="E535" s="15">
        <f>1-(1-D535)^(1/12)</f>
        <v/>
      </c>
      <c r="F535" s="16">
        <f>F534*(1-E534)</f>
        <v/>
      </c>
      <c r="G535" s="16">
        <f>1/(1+$C$7)^(A535/12)</f>
        <v/>
      </c>
      <c r="H535" s="16">
        <f>F535*G535</f>
        <v/>
      </c>
    </row>
    <row r="536">
      <c r="A536" s="14" t="n">
        <v>524</v>
      </c>
      <c r="B536">
        <f>$C$5+INT(A536/12)</f>
        <v/>
      </c>
      <c r="C536">
        <f>Parametros!$B$5+INT(A536/12)</f>
        <v/>
      </c>
      <c r="D536" s="15">
        <f>IFERROR(IF($C$4="H",INDEX(Mortalidad_H!$B$3:$BX$113,MATCH(B536,Mortalidad_H!$A$3:$A$113,0),MATCH(MIN(C536,2100),Mortalidad_H!$B$2:$BX$2,0)),INDEX(Mortalidad_M!$B$3:$BX$93,MATCH(B536,Mortalidad_M!$A$3:$A$93,0),MATCH(MIN(C536,2100),Mortalidad_M!$B$2:$BX$2,0))),1)</f>
        <v/>
      </c>
      <c r="E536" s="15">
        <f>1-(1-D536)^(1/12)</f>
        <v/>
      </c>
      <c r="F536" s="16">
        <f>F535*(1-E535)</f>
        <v/>
      </c>
      <c r="G536" s="16">
        <f>1/(1+$C$7)^(A536/12)</f>
        <v/>
      </c>
      <c r="H536" s="16">
        <f>F536*G536</f>
        <v/>
      </c>
    </row>
    <row r="537">
      <c r="A537" s="14" t="n">
        <v>525</v>
      </c>
      <c r="B537">
        <f>$C$5+INT(A537/12)</f>
        <v/>
      </c>
      <c r="C537">
        <f>Parametros!$B$5+INT(A537/12)</f>
        <v/>
      </c>
      <c r="D537" s="15">
        <f>IFERROR(IF($C$4="H",INDEX(Mortalidad_H!$B$3:$BX$113,MATCH(B537,Mortalidad_H!$A$3:$A$113,0),MATCH(MIN(C537,2100),Mortalidad_H!$B$2:$BX$2,0)),INDEX(Mortalidad_M!$B$3:$BX$93,MATCH(B537,Mortalidad_M!$A$3:$A$93,0),MATCH(MIN(C537,2100),Mortalidad_M!$B$2:$BX$2,0))),1)</f>
        <v/>
      </c>
      <c r="E537" s="15">
        <f>1-(1-D537)^(1/12)</f>
        <v/>
      </c>
      <c r="F537" s="16">
        <f>F536*(1-E536)</f>
        <v/>
      </c>
      <c r="G537" s="16">
        <f>1/(1+$C$7)^(A537/12)</f>
        <v/>
      </c>
      <c r="H537" s="16">
        <f>F537*G537</f>
        <v/>
      </c>
    </row>
    <row r="538">
      <c r="A538" s="14" t="n">
        <v>526</v>
      </c>
      <c r="B538">
        <f>$C$5+INT(A538/12)</f>
        <v/>
      </c>
      <c r="C538">
        <f>Parametros!$B$5+INT(A538/12)</f>
        <v/>
      </c>
      <c r="D538" s="15">
        <f>IFERROR(IF($C$4="H",INDEX(Mortalidad_H!$B$3:$BX$113,MATCH(B538,Mortalidad_H!$A$3:$A$113,0),MATCH(MIN(C538,2100),Mortalidad_H!$B$2:$BX$2,0)),INDEX(Mortalidad_M!$B$3:$BX$93,MATCH(B538,Mortalidad_M!$A$3:$A$93,0),MATCH(MIN(C538,2100),Mortalidad_M!$B$2:$BX$2,0))),1)</f>
        <v/>
      </c>
      <c r="E538" s="15">
        <f>1-(1-D538)^(1/12)</f>
        <v/>
      </c>
      <c r="F538" s="16">
        <f>F537*(1-E537)</f>
        <v/>
      </c>
      <c r="G538" s="16">
        <f>1/(1+$C$7)^(A538/12)</f>
        <v/>
      </c>
      <c r="H538" s="16">
        <f>F538*G538</f>
        <v/>
      </c>
    </row>
    <row r="539">
      <c r="A539" s="14" t="n">
        <v>527</v>
      </c>
      <c r="B539">
        <f>$C$5+INT(A539/12)</f>
        <v/>
      </c>
      <c r="C539">
        <f>Parametros!$B$5+INT(A539/12)</f>
        <v/>
      </c>
      <c r="D539" s="15">
        <f>IFERROR(IF($C$4="H",INDEX(Mortalidad_H!$B$3:$BX$113,MATCH(B539,Mortalidad_H!$A$3:$A$113,0),MATCH(MIN(C539,2100),Mortalidad_H!$B$2:$BX$2,0)),INDEX(Mortalidad_M!$B$3:$BX$93,MATCH(B539,Mortalidad_M!$A$3:$A$93,0),MATCH(MIN(C539,2100),Mortalidad_M!$B$2:$BX$2,0))),1)</f>
        <v/>
      </c>
      <c r="E539" s="15">
        <f>1-(1-D539)^(1/12)</f>
        <v/>
      </c>
      <c r="F539" s="16">
        <f>F538*(1-E538)</f>
        <v/>
      </c>
      <c r="G539" s="16">
        <f>1/(1+$C$7)^(A539/12)</f>
        <v/>
      </c>
      <c r="H539" s="16">
        <f>F539*G539</f>
        <v/>
      </c>
    </row>
    <row r="540">
      <c r="A540" s="14" t="n">
        <v>528</v>
      </c>
      <c r="B540">
        <f>$C$5+INT(A540/12)</f>
        <v/>
      </c>
      <c r="C540">
        <f>Parametros!$B$5+INT(A540/12)</f>
        <v/>
      </c>
      <c r="D540" s="15">
        <f>IFERROR(IF($C$4="H",INDEX(Mortalidad_H!$B$3:$BX$113,MATCH(B540,Mortalidad_H!$A$3:$A$113,0),MATCH(MIN(C540,2100),Mortalidad_H!$B$2:$BX$2,0)),INDEX(Mortalidad_M!$B$3:$BX$93,MATCH(B540,Mortalidad_M!$A$3:$A$93,0),MATCH(MIN(C540,2100),Mortalidad_M!$B$2:$BX$2,0))),1)</f>
        <v/>
      </c>
      <c r="E540" s="15">
        <f>1-(1-D540)^(1/12)</f>
        <v/>
      </c>
      <c r="F540" s="16">
        <f>F539*(1-E539)</f>
        <v/>
      </c>
      <c r="G540" s="16">
        <f>1/(1+$C$7)^(A540/12)</f>
        <v/>
      </c>
      <c r="H540" s="16">
        <f>F540*G540</f>
        <v/>
      </c>
    </row>
    <row r="541">
      <c r="A541" s="14" t="n">
        <v>529</v>
      </c>
      <c r="B541">
        <f>$C$5+INT(A541/12)</f>
        <v/>
      </c>
      <c r="C541">
        <f>Parametros!$B$5+INT(A541/12)</f>
        <v/>
      </c>
      <c r="D541" s="15">
        <f>IFERROR(IF($C$4="H",INDEX(Mortalidad_H!$B$3:$BX$113,MATCH(B541,Mortalidad_H!$A$3:$A$113,0),MATCH(MIN(C541,2100),Mortalidad_H!$B$2:$BX$2,0)),INDEX(Mortalidad_M!$B$3:$BX$93,MATCH(B541,Mortalidad_M!$A$3:$A$93,0),MATCH(MIN(C541,2100),Mortalidad_M!$B$2:$BX$2,0))),1)</f>
        <v/>
      </c>
      <c r="E541" s="15">
        <f>1-(1-D541)^(1/12)</f>
        <v/>
      </c>
      <c r="F541" s="16">
        <f>F540*(1-E540)</f>
        <v/>
      </c>
      <c r="G541" s="16">
        <f>1/(1+$C$7)^(A541/12)</f>
        <v/>
      </c>
      <c r="H541" s="16">
        <f>F541*G541</f>
        <v/>
      </c>
    </row>
    <row r="542">
      <c r="A542" s="14" t="n">
        <v>530</v>
      </c>
      <c r="B542">
        <f>$C$5+INT(A542/12)</f>
        <v/>
      </c>
      <c r="C542">
        <f>Parametros!$B$5+INT(A542/12)</f>
        <v/>
      </c>
      <c r="D542" s="15">
        <f>IFERROR(IF($C$4="H",INDEX(Mortalidad_H!$B$3:$BX$113,MATCH(B542,Mortalidad_H!$A$3:$A$113,0),MATCH(MIN(C542,2100),Mortalidad_H!$B$2:$BX$2,0)),INDEX(Mortalidad_M!$B$3:$BX$93,MATCH(B542,Mortalidad_M!$A$3:$A$93,0),MATCH(MIN(C542,2100),Mortalidad_M!$B$2:$BX$2,0))),1)</f>
        <v/>
      </c>
      <c r="E542" s="15">
        <f>1-(1-D542)^(1/12)</f>
        <v/>
      </c>
      <c r="F542" s="16">
        <f>F541*(1-E541)</f>
        <v/>
      </c>
      <c r="G542" s="16">
        <f>1/(1+$C$7)^(A542/12)</f>
        <v/>
      </c>
      <c r="H542" s="16">
        <f>F542*G542</f>
        <v/>
      </c>
    </row>
    <row r="543">
      <c r="A543" s="14" t="n">
        <v>531</v>
      </c>
      <c r="B543">
        <f>$C$5+INT(A543/12)</f>
        <v/>
      </c>
      <c r="C543">
        <f>Parametros!$B$5+INT(A543/12)</f>
        <v/>
      </c>
      <c r="D543" s="15">
        <f>IFERROR(IF($C$4="H",INDEX(Mortalidad_H!$B$3:$BX$113,MATCH(B543,Mortalidad_H!$A$3:$A$113,0),MATCH(MIN(C543,2100),Mortalidad_H!$B$2:$BX$2,0)),INDEX(Mortalidad_M!$B$3:$BX$93,MATCH(B543,Mortalidad_M!$A$3:$A$93,0),MATCH(MIN(C543,2100),Mortalidad_M!$B$2:$BX$2,0))),1)</f>
        <v/>
      </c>
      <c r="E543" s="15">
        <f>1-(1-D543)^(1/12)</f>
        <v/>
      </c>
      <c r="F543" s="16">
        <f>F542*(1-E542)</f>
        <v/>
      </c>
      <c r="G543" s="16">
        <f>1/(1+$C$7)^(A543/12)</f>
        <v/>
      </c>
      <c r="H543" s="16">
        <f>F543*G543</f>
        <v/>
      </c>
    </row>
    <row r="544">
      <c r="A544" s="14" t="n">
        <v>532</v>
      </c>
      <c r="B544">
        <f>$C$5+INT(A544/12)</f>
        <v/>
      </c>
      <c r="C544">
        <f>Parametros!$B$5+INT(A544/12)</f>
        <v/>
      </c>
      <c r="D544" s="15">
        <f>IFERROR(IF($C$4="H",INDEX(Mortalidad_H!$B$3:$BX$113,MATCH(B544,Mortalidad_H!$A$3:$A$113,0),MATCH(MIN(C544,2100),Mortalidad_H!$B$2:$BX$2,0)),INDEX(Mortalidad_M!$B$3:$BX$93,MATCH(B544,Mortalidad_M!$A$3:$A$93,0),MATCH(MIN(C544,2100),Mortalidad_M!$B$2:$BX$2,0))),1)</f>
        <v/>
      </c>
      <c r="E544" s="15">
        <f>1-(1-D544)^(1/12)</f>
        <v/>
      </c>
      <c r="F544" s="16">
        <f>F543*(1-E543)</f>
        <v/>
      </c>
      <c r="G544" s="16">
        <f>1/(1+$C$7)^(A544/12)</f>
        <v/>
      </c>
      <c r="H544" s="16">
        <f>F544*G544</f>
        <v/>
      </c>
    </row>
    <row r="545">
      <c r="A545" s="14" t="n">
        <v>533</v>
      </c>
      <c r="B545">
        <f>$C$5+INT(A545/12)</f>
        <v/>
      </c>
      <c r="C545">
        <f>Parametros!$B$5+INT(A545/12)</f>
        <v/>
      </c>
      <c r="D545" s="15">
        <f>IFERROR(IF($C$4="H",INDEX(Mortalidad_H!$B$3:$BX$113,MATCH(B545,Mortalidad_H!$A$3:$A$113,0),MATCH(MIN(C545,2100),Mortalidad_H!$B$2:$BX$2,0)),INDEX(Mortalidad_M!$B$3:$BX$93,MATCH(B545,Mortalidad_M!$A$3:$A$93,0),MATCH(MIN(C545,2100),Mortalidad_M!$B$2:$BX$2,0))),1)</f>
        <v/>
      </c>
      <c r="E545" s="15">
        <f>1-(1-D545)^(1/12)</f>
        <v/>
      </c>
      <c r="F545" s="16">
        <f>F544*(1-E544)</f>
        <v/>
      </c>
      <c r="G545" s="16">
        <f>1/(1+$C$7)^(A545/12)</f>
        <v/>
      </c>
      <c r="H545" s="16">
        <f>F545*G545</f>
        <v/>
      </c>
    </row>
    <row r="546">
      <c r="A546" s="14" t="n">
        <v>534</v>
      </c>
      <c r="B546">
        <f>$C$5+INT(A546/12)</f>
        <v/>
      </c>
      <c r="C546">
        <f>Parametros!$B$5+INT(A546/12)</f>
        <v/>
      </c>
      <c r="D546" s="15">
        <f>IFERROR(IF($C$4="H",INDEX(Mortalidad_H!$B$3:$BX$113,MATCH(B546,Mortalidad_H!$A$3:$A$113,0),MATCH(MIN(C546,2100),Mortalidad_H!$B$2:$BX$2,0)),INDEX(Mortalidad_M!$B$3:$BX$93,MATCH(B546,Mortalidad_M!$A$3:$A$93,0),MATCH(MIN(C546,2100),Mortalidad_M!$B$2:$BX$2,0))),1)</f>
        <v/>
      </c>
      <c r="E546" s="15">
        <f>1-(1-D546)^(1/12)</f>
        <v/>
      </c>
      <c r="F546" s="16">
        <f>F545*(1-E545)</f>
        <v/>
      </c>
      <c r="G546" s="16">
        <f>1/(1+$C$7)^(A546/12)</f>
        <v/>
      </c>
      <c r="H546" s="16">
        <f>F546*G546</f>
        <v/>
      </c>
    </row>
    <row r="547">
      <c r="A547" s="14" t="n">
        <v>535</v>
      </c>
      <c r="B547">
        <f>$C$5+INT(A547/12)</f>
        <v/>
      </c>
      <c r="C547">
        <f>Parametros!$B$5+INT(A547/12)</f>
        <v/>
      </c>
      <c r="D547" s="15">
        <f>IFERROR(IF($C$4="H",INDEX(Mortalidad_H!$B$3:$BX$113,MATCH(B547,Mortalidad_H!$A$3:$A$113,0),MATCH(MIN(C547,2100),Mortalidad_H!$B$2:$BX$2,0)),INDEX(Mortalidad_M!$B$3:$BX$93,MATCH(B547,Mortalidad_M!$A$3:$A$93,0),MATCH(MIN(C547,2100),Mortalidad_M!$B$2:$BX$2,0))),1)</f>
        <v/>
      </c>
      <c r="E547" s="15">
        <f>1-(1-D547)^(1/12)</f>
        <v/>
      </c>
      <c r="F547" s="16">
        <f>F546*(1-E546)</f>
        <v/>
      </c>
      <c r="G547" s="16">
        <f>1/(1+$C$7)^(A547/12)</f>
        <v/>
      </c>
      <c r="H547" s="16">
        <f>F547*G547</f>
        <v/>
      </c>
    </row>
    <row r="548">
      <c r="A548" s="14" t="n">
        <v>536</v>
      </c>
      <c r="B548">
        <f>$C$5+INT(A548/12)</f>
        <v/>
      </c>
      <c r="C548">
        <f>Parametros!$B$5+INT(A548/12)</f>
        <v/>
      </c>
      <c r="D548" s="15">
        <f>IFERROR(IF($C$4="H",INDEX(Mortalidad_H!$B$3:$BX$113,MATCH(B548,Mortalidad_H!$A$3:$A$113,0),MATCH(MIN(C548,2100),Mortalidad_H!$B$2:$BX$2,0)),INDEX(Mortalidad_M!$B$3:$BX$93,MATCH(B548,Mortalidad_M!$A$3:$A$93,0),MATCH(MIN(C548,2100),Mortalidad_M!$B$2:$BX$2,0))),1)</f>
        <v/>
      </c>
      <c r="E548" s="15">
        <f>1-(1-D548)^(1/12)</f>
        <v/>
      </c>
      <c r="F548" s="16">
        <f>F547*(1-E547)</f>
        <v/>
      </c>
      <c r="G548" s="16">
        <f>1/(1+$C$7)^(A548/12)</f>
        <v/>
      </c>
      <c r="H548" s="16">
        <f>F548*G548</f>
        <v/>
      </c>
    </row>
    <row r="549">
      <c r="A549" s="14" t="n">
        <v>537</v>
      </c>
      <c r="B549">
        <f>$C$5+INT(A549/12)</f>
        <v/>
      </c>
      <c r="C549">
        <f>Parametros!$B$5+INT(A549/12)</f>
        <v/>
      </c>
      <c r="D549" s="15">
        <f>IFERROR(IF($C$4="H",INDEX(Mortalidad_H!$B$3:$BX$113,MATCH(B549,Mortalidad_H!$A$3:$A$113,0),MATCH(MIN(C549,2100),Mortalidad_H!$B$2:$BX$2,0)),INDEX(Mortalidad_M!$B$3:$BX$93,MATCH(B549,Mortalidad_M!$A$3:$A$93,0),MATCH(MIN(C549,2100),Mortalidad_M!$B$2:$BX$2,0))),1)</f>
        <v/>
      </c>
      <c r="E549" s="15">
        <f>1-(1-D549)^(1/12)</f>
        <v/>
      </c>
      <c r="F549" s="16">
        <f>F548*(1-E548)</f>
        <v/>
      </c>
      <c r="G549" s="16">
        <f>1/(1+$C$7)^(A549/12)</f>
        <v/>
      </c>
      <c r="H549" s="16">
        <f>F549*G549</f>
        <v/>
      </c>
    </row>
    <row r="550">
      <c r="A550" s="14" t="n">
        <v>538</v>
      </c>
      <c r="B550">
        <f>$C$5+INT(A550/12)</f>
        <v/>
      </c>
      <c r="C550">
        <f>Parametros!$B$5+INT(A550/12)</f>
        <v/>
      </c>
      <c r="D550" s="15">
        <f>IFERROR(IF($C$4="H",INDEX(Mortalidad_H!$B$3:$BX$113,MATCH(B550,Mortalidad_H!$A$3:$A$113,0),MATCH(MIN(C550,2100),Mortalidad_H!$B$2:$BX$2,0)),INDEX(Mortalidad_M!$B$3:$BX$93,MATCH(B550,Mortalidad_M!$A$3:$A$93,0),MATCH(MIN(C550,2100),Mortalidad_M!$B$2:$BX$2,0))),1)</f>
        <v/>
      </c>
      <c r="E550" s="15">
        <f>1-(1-D550)^(1/12)</f>
        <v/>
      </c>
      <c r="F550" s="16">
        <f>F549*(1-E549)</f>
        <v/>
      </c>
      <c r="G550" s="16">
        <f>1/(1+$C$7)^(A550/12)</f>
        <v/>
      </c>
      <c r="H550" s="16">
        <f>F550*G550</f>
        <v/>
      </c>
    </row>
    <row r="551">
      <c r="A551" s="14" t="n">
        <v>539</v>
      </c>
      <c r="B551">
        <f>$C$5+INT(A551/12)</f>
        <v/>
      </c>
      <c r="C551">
        <f>Parametros!$B$5+INT(A551/12)</f>
        <v/>
      </c>
      <c r="D551" s="15">
        <f>IFERROR(IF($C$4="H",INDEX(Mortalidad_H!$B$3:$BX$113,MATCH(B551,Mortalidad_H!$A$3:$A$113,0),MATCH(MIN(C551,2100),Mortalidad_H!$B$2:$BX$2,0)),INDEX(Mortalidad_M!$B$3:$BX$93,MATCH(B551,Mortalidad_M!$A$3:$A$93,0),MATCH(MIN(C551,2100),Mortalidad_M!$B$2:$BX$2,0))),1)</f>
        <v/>
      </c>
      <c r="E551" s="15">
        <f>1-(1-D551)^(1/12)</f>
        <v/>
      </c>
      <c r="F551" s="16">
        <f>F550*(1-E550)</f>
        <v/>
      </c>
      <c r="G551" s="16">
        <f>1/(1+$C$7)^(A551/12)</f>
        <v/>
      </c>
      <c r="H551" s="16">
        <f>F551*G551</f>
        <v/>
      </c>
    </row>
    <row r="552">
      <c r="A552" s="14" t="n">
        <v>540</v>
      </c>
      <c r="B552">
        <f>$C$5+INT(A552/12)</f>
        <v/>
      </c>
      <c r="C552">
        <f>Parametros!$B$5+INT(A552/12)</f>
        <v/>
      </c>
      <c r="D552" s="15">
        <f>IFERROR(IF($C$4="H",INDEX(Mortalidad_H!$B$3:$BX$113,MATCH(B552,Mortalidad_H!$A$3:$A$113,0),MATCH(MIN(C552,2100),Mortalidad_H!$B$2:$BX$2,0)),INDEX(Mortalidad_M!$B$3:$BX$93,MATCH(B552,Mortalidad_M!$A$3:$A$93,0),MATCH(MIN(C552,2100),Mortalidad_M!$B$2:$BX$2,0))),1)</f>
        <v/>
      </c>
      <c r="E552" s="15">
        <f>1-(1-D552)^(1/12)</f>
        <v/>
      </c>
      <c r="F552" s="16">
        <f>F551*(1-E551)</f>
        <v/>
      </c>
      <c r="G552" s="16">
        <f>1/(1+$C$7)^(A552/12)</f>
        <v/>
      </c>
      <c r="H552" s="16">
        <f>F552*G552</f>
        <v/>
      </c>
    </row>
    <row r="553">
      <c r="A553" s="14" t="n">
        <v>541</v>
      </c>
      <c r="B553">
        <f>$C$5+INT(A553/12)</f>
        <v/>
      </c>
      <c r="C553">
        <f>Parametros!$B$5+INT(A553/12)</f>
        <v/>
      </c>
      <c r="D553" s="15">
        <f>IFERROR(IF($C$4="H",INDEX(Mortalidad_H!$B$3:$BX$113,MATCH(B553,Mortalidad_H!$A$3:$A$113,0),MATCH(MIN(C553,2100),Mortalidad_H!$B$2:$BX$2,0)),INDEX(Mortalidad_M!$B$3:$BX$93,MATCH(B553,Mortalidad_M!$A$3:$A$93,0),MATCH(MIN(C553,2100),Mortalidad_M!$B$2:$BX$2,0))),1)</f>
        <v/>
      </c>
      <c r="E553" s="15">
        <f>1-(1-D553)^(1/12)</f>
        <v/>
      </c>
      <c r="F553" s="16">
        <f>F552*(1-E552)</f>
        <v/>
      </c>
      <c r="G553" s="16">
        <f>1/(1+$C$7)^(A553/12)</f>
        <v/>
      </c>
      <c r="H553" s="16">
        <f>F553*G553</f>
        <v/>
      </c>
    </row>
    <row r="554">
      <c r="A554" s="14" t="n">
        <v>542</v>
      </c>
      <c r="B554">
        <f>$C$5+INT(A554/12)</f>
        <v/>
      </c>
      <c r="C554">
        <f>Parametros!$B$5+INT(A554/12)</f>
        <v/>
      </c>
      <c r="D554" s="15">
        <f>IFERROR(IF($C$4="H",INDEX(Mortalidad_H!$B$3:$BX$113,MATCH(B554,Mortalidad_H!$A$3:$A$113,0),MATCH(MIN(C554,2100),Mortalidad_H!$B$2:$BX$2,0)),INDEX(Mortalidad_M!$B$3:$BX$93,MATCH(B554,Mortalidad_M!$A$3:$A$93,0),MATCH(MIN(C554,2100),Mortalidad_M!$B$2:$BX$2,0))),1)</f>
        <v/>
      </c>
      <c r="E554" s="15">
        <f>1-(1-D554)^(1/12)</f>
        <v/>
      </c>
      <c r="F554" s="16">
        <f>F553*(1-E553)</f>
        <v/>
      </c>
      <c r="G554" s="16">
        <f>1/(1+$C$7)^(A554/12)</f>
        <v/>
      </c>
      <c r="H554" s="16">
        <f>F554*G554</f>
        <v/>
      </c>
    </row>
    <row r="555">
      <c r="A555" s="14" t="n">
        <v>543</v>
      </c>
      <c r="B555">
        <f>$C$5+INT(A555/12)</f>
        <v/>
      </c>
      <c r="C555">
        <f>Parametros!$B$5+INT(A555/12)</f>
        <v/>
      </c>
      <c r="D555" s="15">
        <f>IFERROR(IF($C$4="H",INDEX(Mortalidad_H!$B$3:$BX$113,MATCH(B555,Mortalidad_H!$A$3:$A$113,0),MATCH(MIN(C555,2100),Mortalidad_H!$B$2:$BX$2,0)),INDEX(Mortalidad_M!$B$3:$BX$93,MATCH(B555,Mortalidad_M!$A$3:$A$93,0),MATCH(MIN(C555,2100),Mortalidad_M!$B$2:$BX$2,0))),1)</f>
        <v/>
      </c>
      <c r="E555" s="15">
        <f>1-(1-D555)^(1/12)</f>
        <v/>
      </c>
      <c r="F555" s="16">
        <f>F554*(1-E554)</f>
        <v/>
      </c>
      <c r="G555" s="16">
        <f>1/(1+$C$7)^(A555/12)</f>
        <v/>
      </c>
      <c r="H555" s="16">
        <f>F555*G555</f>
        <v/>
      </c>
    </row>
    <row r="556">
      <c r="A556" s="14" t="n">
        <v>544</v>
      </c>
      <c r="B556">
        <f>$C$5+INT(A556/12)</f>
        <v/>
      </c>
      <c r="C556">
        <f>Parametros!$B$5+INT(A556/12)</f>
        <v/>
      </c>
      <c r="D556" s="15">
        <f>IFERROR(IF($C$4="H",INDEX(Mortalidad_H!$B$3:$BX$113,MATCH(B556,Mortalidad_H!$A$3:$A$113,0),MATCH(MIN(C556,2100),Mortalidad_H!$B$2:$BX$2,0)),INDEX(Mortalidad_M!$B$3:$BX$93,MATCH(B556,Mortalidad_M!$A$3:$A$93,0),MATCH(MIN(C556,2100),Mortalidad_M!$B$2:$BX$2,0))),1)</f>
        <v/>
      </c>
      <c r="E556" s="15">
        <f>1-(1-D556)^(1/12)</f>
        <v/>
      </c>
      <c r="F556" s="16">
        <f>F555*(1-E555)</f>
        <v/>
      </c>
      <c r="G556" s="16">
        <f>1/(1+$C$7)^(A556/12)</f>
        <v/>
      </c>
      <c r="H556" s="16">
        <f>F556*G556</f>
        <v/>
      </c>
    </row>
    <row r="557">
      <c r="A557" s="14" t="n">
        <v>545</v>
      </c>
      <c r="B557">
        <f>$C$5+INT(A557/12)</f>
        <v/>
      </c>
      <c r="C557">
        <f>Parametros!$B$5+INT(A557/12)</f>
        <v/>
      </c>
      <c r="D557" s="15">
        <f>IFERROR(IF($C$4="H",INDEX(Mortalidad_H!$B$3:$BX$113,MATCH(B557,Mortalidad_H!$A$3:$A$113,0),MATCH(MIN(C557,2100),Mortalidad_H!$B$2:$BX$2,0)),INDEX(Mortalidad_M!$B$3:$BX$93,MATCH(B557,Mortalidad_M!$A$3:$A$93,0),MATCH(MIN(C557,2100),Mortalidad_M!$B$2:$BX$2,0))),1)</f>
        <v/>
      </c>
      <c r="E557" s="15">
        <f>1-(1-D557)^(1/12)</f>
        <v/>
      </c>
      <c r="F557" s="16">
        <f>F556*(1-E556)</f>
        <v/>
      </c>
      <c r="G557" s="16">
        <f>1/(1+$C$7)^(A557/12)</f>
        <v/>
      </c>
      <c r="H557" s="16">
        <f>F557*G557</f>
        <v/>
      </c>
    </row>
    <row r="558">
      <c r="A558" s="14" t="n">
        <v>546</v>
      </c>
      <c r="B558">
        <f>$C$5+INT(A558/12)</f>
        <v/>
      </c>
      <c r="C558">
        <f>Parametros!$B$5+INT(A558/12)</f>
        <v/>
      </c>
      <c r="D558" s="15">
        <f>IFERROR(IF($C$4="H",INDEX(Mortalidad_H!$B$3:$BX$113,MATCH(B558,Mortalidad_H!$A$3:$A$113,0),MATCH(MIN(C558,2100),Mortalidad_H!$B$2:$BX$2,0)),INDEX(Mortalidad_M!$B$3:$BX$93,MATCH(B558,Mortalidad_M!$A$3:$A$93,0),MATCH(MIN(C558,2100),Mortalidad_M!$B$2:$BX$2,0))),1)</f>
        <v/>
      </c>
      <c r="E558" s="15">
        <f>1-(1-D558)^(1/12)</f>
        <v/>
      </c>
      <c r="F558" s="16">
        <f>F557*(1-E557)</f>
        <v/>
      </c>
      <c r="G558" s="16">
        <f>1/(1+$C$7)^(A558/12)</f>
        <v/>
      </c>
      <c r="H558" s="16">
        <f>F558*G558</f>
        <v/>
      </c>
    </row>
    <row r="559">
      <c r="A559" s="14" t="n">
        <v>547</v>
      </c>
      <c r="B559">
        <f>$C$5+INT(A559/12)</f>
        <v/>
      </c>
      <c r="C559">
        <f>Parametros!$B$5+INT(A559/12)</f>
        <v/>
      </c>
      <c r="D559" s="15">
        <f>IFERROR(IF($C$4="H",INDEX(Mortalidad_H!$B$3:$BX$113,MATCH(B559,Mortalidad_H!$A$3:$A$113,0),MATCH(MIN(C559,2100),Mortalidad_H!$B$2:$BX$2,0)),INDEX(Mortalidad_M!$B$3:$BX$93,MATCH(B559,Mortalidad_M!$A$3:$A$93,0),MATCH(MIN(C559,2100),Mortalidad_M!$B$2:$BX$2,0))),1)</f>
        <v/>
      </c>
      <c r="E559" s="15">
        <f>1-(1-D559)^(1/12)</f>
        <v/>
      </c>
      <c r="F559" s="16">
        <f>F558*(1-E558)</f>
        <v/>
      </c>
      <c r="G559" s="16">
        <f>1/(1+$C$7)^(A559/12)</f>
        <v/>
      </c>
      <c r="H559" s="16">
        <f>F559*G559</f>
        <v/>
      </c>
    </row>
    <row r="560">
      <c r="A560" s="14" t="n">
        <v>548</v>
      </c>
      <c r="B560">
        <f>$C$5+INT(A560/12)</f>
        <v/>
      </c>
      <c r="C560">
        <f>Parametros!$B$5+INT(A560/12)</f>
        <v/>
      </c>
      <c r="D560" s="15">
        <f>IFERROR(IF($C$4="H",INDEX(Mortalidad_H!$B$3:$BX$113,MATCH(B560,Mortalidad_H!$A$3:$A$113,0),MATCH(MIN(C560,2100),Mortalidad_H!$B$2:$BX$2,0)),INDEX(Mortalidad_M!$B$3:$BX$93,MATCH(B560,Mortalidad_M!$A$3:$A$93,0),MATCH(MIN(C560,2100),Mortalidad_M!$B$2:$BX$2,0))),1)</f>
        <v/>
      </c>
      <c r="E560" s="15">
        <f>1-(1-D560)^(1/12)</f>
        <v/>
      </c>
      <c r="F560" s="16">
        <f>F559*(1-E559)</f>
        <v/>
      </c>
      <c r="G560" s="16">
        <f>1/(1+$C$7)^(A560/12)</f>
        <v/>
      </c>
      <c r="H560" s="16">
        <f>F560*G560</f>
        <v/>
      </c>
    </row>
    <row r="561">
      <c r="A561" s="14" t="n">
        <v>549</v>
      </c>
      <c r="B561">
        <f>$C$5+INT(A561/12)</f>
        <v/>
      </c>
      <c r="C561">
        <f>Parametros!$B$5+INT(A561/12)</f>
        <v/>
      </c>
      <c r="D561" s="15">
        <f>IFERROR(IF($C$4="H",INDEX(Mortalidad_H!$B$3:$BX$113,MATCH(B561,Mortalidad_H!$A$3:$A$113,0),MATCH(MIN(C561,2100),Mortalidad_H!$B$2:$BX$2,0)),INDEX(Mortalidad_M!$B$3:$BX$93,MATCH(B561,Mortalidad_M!$A$3:$A$93,0),MATCH(MIN(C561,2100),Mortalidad_M!$B$2:$BX$2,0))),1)</f>
        <v/>
      </c>
      <c r="E561" s="15">
        <f>1-(1-D561)^(1/12)</f>
        <v/>
      </c>
      <c r="F561" s="16">
        <f>F560*(1-E560)</f>
        <v/>
      </c>
      <c r="G561" s="16">
        <f>1/(1+$C$7)^(A561/12)</f>
        <v/>
      </c>
      <c r="H561" s="16">
        <f>F561*G561</f>
        <v/>
      </c>
    </row>
    <row r="562">
      <c r="A562" s="14" t="n">
        <v>550</v>
      </c>
      <c r="B562">
        <f>$C$5+INT(A562/12)</f>
        <v/>
      </c>
      <c r="C562">
        <f>Parametros!$B$5+INT(A562/12)</f>
        <v/>
      </c>
      <c r="D562" s="15">
        <f>IFERROR(IF($C$4="H",INDEX(Mortalidad_H!$B$3:$BX$113,MATCH(B562,Mortalidad_H!$A$3:$A$113,0),MATCH(MIN(C562,2100),Mortalidad_H!$B$2:$BX$2,0)),INDEX(Mortalidad_M!$B$3:$BX$93,MATCH(B562,Mortalidad_M!$A$3:$A$93,0),MATCH(MIN(C562,2100),Mortalidad_M!$B$2:$BX$2,0))),1)</f>
        <v/>
      </c>
      <c r="E562" s="15">
        <f>1-(1-D562)^(1/12)</f>
        <v/>
      </c>
      <c r="F562" s="16">
        <f>F561*(1-E561)</f>
        <v/>
      </c>
      <c r="G562" s="16">
        <f>1/(1+$C$7)^(A562/12)</f>
        <v/>
      </c>
      <c r="H562" s="16">
        <f>F562*G562</f>
        <v/>
      </c>
    </row>
    <row r="563">
      <c r="A563" s="14" t="n">
        <v>551</v>
      </c>
      <c r="B563">
        <f>$C$5+INT(A563/12)</f>
        <v/>
      </c>
      <c r="C563">
        <f>Parametros!$B$5+INT(A563/12)</f>
        <v/>
      </c>
      <c r="D563" s="15">
        <f>IFERROR(IF($C$4="H",INDEX(Mortalidad_H!$B$3:$BX$113,MATCH(B563,Mortalidad_H!$A$3:$A$113,0),MATCH(MIN(C563,2100),Mortalidad_H!$B$2:$BX$2,0)),INDEX(Mortalidad_M!$B$3:$BX$93,MATCH(B563,Mortalidad_M!$A$3:$A$93,0),MATCH(MIN(C563,2100),Mortalidad_M!$B$2:$BX$2,0))),1)</f>
        <v/>
      </c>
      <c r="E563" s="15">
        <f>1-(1-D563)^(1/12)</f>
        <v/>
      </c>
      <c r="F563" s="16">
        <f>F562*(1-E562)</f>
        <v/>
      </c>
      <c r="G563" s="16">
        <f>1/(1+$C$7)^(A563/12)</f>
        <v/>
      </c>
      <c r="H563" s="16">
        <f>F563*G563</f>
        <v/>
      </c>
    </row>
    <row r="564">
      <c r="A564" s="14" t="n">
        <v>552</v>
      </c>
      <c r="B564">
        <f>$C$5+INT(A564/12)</f>
        <v/>
      </c>
      <c r="C564">
        <f>Parametros!$B$5+INT(A564/12)</f>
        <v/>
      </c>
      <c r="D564" s="15">
        <f>IFERROR(IF($C$4="H",INDEX(Mortalidad_H!$B$3:$BX$113,MATCH(B564,Mortalidad_H!$A$3:$A$113,0),MATCH(MIN(C564,2100),Mortalidad_H!$B$2:$BX$2,0)),INDEX(Mortalidad_M!$B$3:$BX$93,MATCH(B564,Mortalidad_M!$A$3:$A$93,0),MATCH(MIN(C564,2100),Mortalidad_M!$B$2:$BX$2,0))),1)</f>
        <v/>
      </c>
      <c r="E564" s="15">
        <f>1-(1-D564)^(1/12)</f>
        <v/>
      </c>
      <c r="F564" s="16">
        <f>F563*(1-E563)</f>
        <v/>
      </c>
      <c r="G564" s="16">
        <f>1/(1+$C$7)^(A564/12)</f>
        <v/>
      </c>
      <c r="H564" s="16">
        <f>F564*G564</f>
        <v/>
      </c>
    </row>
    <row r="565">
      <c r="A565" s="14" t="n">
        <v>553</v>
      </c>
      <c r="B565">
        <f>$C$5+INT(A565/12)</f>
        <v/>
      </c>
      <c r="C565">
        <f>Parametros!$B$5+INT(A565/12)</f>
        <v/>
      </c>
      <c r="D565" s="15">
        <f>IFERROR(IF($C$4="H",INDEX(Mortalidad_H!$B$3:$BX$113,MATCH(B565,Mortalidad_H!$A$3:$A$113,0),MATCH(MIN(C565,2100),Mortalidad_H!$B$2:$BX$2,0)),INDEX(Mortalidad_M!$B$3:$BX$93,MATCH(B565,Mortalidad_M!$A$3:$A$93,0),MATCH(MIN(C565,2100),Mortalidad_M!$B$2:$BX$2,0))),1)</f>
        <v/>
      </c>
      <c r="E565" s="15">
        <f>1-(1-D565)^(1/12)</f>
        <v/>
      </c>
      <c r="F565" s="16">
        <f>F564*(1-E564)</f>
        <v/>
      </c>
      <c r="G565" s="16">
        <f>1/(1+$C$7)^(A565/12)</f>
        <v/>
      </c>
      <c r="H565" s="16">
        <f>F565*G565</f>
        <v/>
      </c>
    </row>
    <row r="566">
      <c r="A566" s="14" t="n">
        <v>554</v>
      </c>
      <c r="B566">
        <f>$C$5+INT(A566/12)</f>
        <v/>
      </c>
      <c r="C566">
        <f>Parametros!$B$5+INT(A566/12)</f>
        <v/>
      </c>
      <c r="D566" s="15">
        <f>IFERROR(IF($C$4="H",INDEX(Mortalidad_H!$B$3:$BX$113,MATCH(B566,Mortalidad_H!$A$3:$A$113,0),MATCH(MIN(C566,2100),Mortalidad_H!$B$2:$BX$2,0)),INDEX(Mortalidad_M!$B$3:$BX$93,MATCH(B566,Mortalidad_M!$A$3:$A$93,0),MATCH(MIN(C566,2100),Mortalidad_M!$B$2:$BX$2,0))),1)</f>
        <v/>
      </c>
      <c r="E566" s="15">
        <f>1-(1-D566)^(1/12)</f>
        <v/>
      </c>
      <c r="F566" s="16">
        <f>F565*(1-E565)</f>
        <v/>
      </c>
      <c r="G566" s="16">
        <f>1/(1+$C$7)^(A566/12)</f>
        <v/>
      </c>
      <c r="H566" s="16">
        <f>F566*G566</f>
        <v/>
      </c>
    </row>
    <row r="567">
      <c r="A567" s="14" t="n">
        <v>555</v>
      </c>
      <c r="B567">
        <f>$C$5+INT(A567/12)</f>
        <v/>
      </c>
      <c r="C567">
        <f>Parametros!$B$5+INT(A567/12)</f>
        <v/>
      </c>
      <c r="D567" s="15">
        <f>IFERROR(IF($C$4="H",INDEX(Mortalidad_H!$B$3:$BX$113,MATCH(B567,Mortalidad_H!$A$3:$A$113,0),MATCH(MIN(C567,2100),Mortalidad_H!$B$2:$BX$2,0)),INDEX(Mortalidad_M!$B$3:$BX$93,MATCH(B567,Mortalidad_M!$A$3:$A$93,0),MATCH(MIN(C567,2100),Mortalidad_M!$B$2:$BX$2,0))),1)</f>
        <v/>
      </c>
      <c r="E567" s="15">
        <f>1-(1-D567)^(1/12)</f>
        <v/>
      </c>
      <c r="F567" s="16">
        <f>F566*(1-E566)</f>
        <v/>
      </c>
      <c r="G567" s="16">
        <f>1/(1+$C$7)^(A567/12)</f>
        <v/>
      </c>
      <c r="H567" s="16">
        <f>F567*G567</f>
        <v/>
      </c>
    </row>
    <row r="568">
      <c r="A568" s="14" t="n">
        <v>556</v>
      </c>
      <c r="B568">
        <f>$C$5+INT(A568/12)</f>
        <v/>
      </c>
      <c r="C568">
        <f>Parametros!$B$5+INT(A568/12)</f>
        <v/>
      </c>
      <c r="D568" s="15">
        <f>IFERROR(IF($C$4="H",INDEX(Mortalidad_H!$B$3:$BX$113,MATCH(B568,Mortalidad_H!$A$3:$A$113,0),MATCH(MIN(C568,2100),Mortalidad_H!$B$2:$BX$2,0)),INDEX(Mortalidad_M!$B$3:$BX$93,MATCH(B568,Mortalidad_M!$A$3:$A$93,0),MATCH(MIN(C568,2100),Mortalidad_M!$B$2:$BX$2,0))),1)</f>
        <v/>
      </c>
      <c r="E568" s="15">
        <f>1-(1-D568)^(1/12)</f>
        <v/>
      </c>
      <c r="F568" s="16">
        <f>F567*(1-E567)</f>
        <v/>
      </c>
      <c r="G568" s="16">
        <f>1/(1+$C$7)^(A568/12)</f>
        <v/>
      </c>
      <c r="H568" s="16">
        <f>F568*G568</f>
        <v/>
      </c>
    </row>
    <row r="569">
      <c r="A569" s="14" t="n">
        <v>557</v>
      </c>
      <c r="B569">
        <f>$C$5+INT(A569/12)</f>
        <v/>
      </c>
      <c r="C569">
        <f>Parametros!$B$5+INT(A569/12)</f>
        <v/>
      </c>
      <c r="D569" s="15">
        <f>IFERROR(IF($C$4="H",INDEX(Mortalidad_H!$B$3:$BX$113,MATCH(B569,Mortalidad_H!$A$3:$A$113,0),MATCH(MIN(C569,2100),Mortalidad_H!$B$2:$BX$2,0)),INDEX(Mortalidad_M!$B$3:$BX$93,MATCH(B569,Mortalidad_M!$A$3:$A$93,0),MATCH(MIN(C569,2100),Mortalidad_M!$B$2:$BX$2,0))),1)</f>
        <v/>
      </c>
      <c r="E569" s="15">
        <f>1-(1-D569)^(1/12)</f>
        <v/>
      </c>
      <c r="F569" s="16">
        <f>F568*(1-E568)</f>
        <v/>
      </c>
      <c r="G569" s="16">
        <f>1/(1+$C$7)^(A569/12)</f>
        <v/>
      </c>
      <c r="H569" s="16">
        <f>F569*G569</f>
        <v/>
      </c>
    </row>
    <row r="570">
      <c r="A570" s="14" t="n">
        <v>558</v>
      </c>
      <c r="B570">
        <f>$C$5+INT(A570/12)</f>
        <v/>
      </c>
      <c r="C570">
        <f>Parametros!$B$5+INT(A570/12)</f>
        <v/>
      </c>
      <c r="D570" s="15">
        <f>IFERROR(IF($C$4="H",INDEX(Mortalidad_H!$B$3:$BX$113,MATCH(B570,Mortalidad_H!$A$3:$A$113,0),MATCH(MIN(C570,2100),Mortalidad_H!$B$2:$BX$2,0)),INDEX(Mortalidad_M!$B$3:$BX$93,MATCH(B570,Mortalidad_M!$A$3:$A$93,0),MATCH(MIN(C570,2100),Mortalidad_M!$B$2:$BX$2,0))),1)</f>
        <v/>
      </c>
      <c r="E570" s="15">
        <f>1-(1-D570)^(1/12)</f>
        <v/>
      </c>
      <c r="F570" s="16">
        <f>F569*(1-E569)</f>
        <v/>
      </c>
      <c r="G570" s="16">
        <f>1/(1+$C$7)^(A570/12)</f>
        <v/>
      </c>
      <c r="H570" s="16">
        <f>F570*G570</f>
        <v/>
      </c>
    </row>
    <row r="571">
      <c r="A571" s="14" t="n">
        <v>559</v>
      </c>
      <c r="B571">
        <f>$C$5+INT(A571/12)</f>
        <v/>
      </c>
      <c r="C571">
        <f>Parametros!$B$5+INT(A571/12)</f>
        <v/>
      </c>
      <c r="D571" s="15">
        <f>IFERROR(IF($C$4="H",INDEX(Mortalidad_H!$B$3:$BX$113,MATCH(B571,Mortalidad_H!$A$3:$A$113,0),MATCH(MIN(C571,2100),Mortalidad_H!$B$2:$BX$2,0)),INDEX(Mortalidad_M!$B$3:$BX$93,MATCH(B571,Mortalidad_M!$A$3:$A$93,0),MATCH(MIN(C571,2100),Mortalidad_M!$B$2:$BX$2,0))),1)</f>
        <v/>
      </c>
      <c r="E571" s="15">
        <f>1-(1-D571)^(1/12)</f>
        <v/>
      </c>
      <c r="F571" s="16">
        <f>F570*(1-E570)</f>
        <v/>
      </c>
      <c r="G571" s="16">
        <f>1/(1+$C$7)^(A571/12)</f>
        <v/>
      </c>
      <c r="H571" s="16">
        <f>F571*G571</f>
        <v/>
      </c>
    </row>
    <row r="572">
      <c r="A572" s="14" t="n">
        <v>560</v>
      </c>
      <c r="B572">
        <f>$C$5+INT(A572/12)</f>
        <v/>
      </c>
      <c r="C572">
        <f>Parametros!$B$5+INT(A572/12)</f>
        <v/>
      </c>
      <c r="D572" s="15">
        <f>IFERROR(IF($C$4="H",INDEX(Mortalidad_H!$B$3:$BX$113,MATCH(B572,Mortalidad_H!$A$3:$A$113,0),MATCH(MIN(C572,2100),Mortalidad_H!$B$2:$BX$2,0)),INDEX(Mortalidad_M!$B$3:$BX$93,MATCH(B572,Mortalidad_M!$A$3:$A$93,0),MATCH(MIN(C572,2100),Mortalidad_M!$B$2:$BX$2,0))),1)</f>
        <v/>
      </c>
      <c r="E572" s="15">
        <f>1-(1-D572)^(1/12)</f>
        <v/>
      </c>
      <c r="F572" s="16">
        <f>F571*(1-E571)</f>
        <v/>
      </c>
      <c r="G572" s="16">
        <f>1/(1+$C$7)^(A572/12)</f>
        <v/>
      </c>
      <c r="H572" s="16">
        <f>F572*G572</f>
        <v/>
      </c>
    </row>
    <row r="573">
      <c r="A573" s="14" t="n">
        <v>561</v>
      </c>
      <c r="B573">
        <f>$C$5+INT(A573/12)</f>
        <v/>
      </c>
      <c r="C573">
        <f>Parametros!$B$5+INT(A573/12)</f>
        <v/>
      </c>
      <c r="D573" s="15">
        <f>IFERROR(IF($C$4="H",INDEX(Mortalidad_H!$B$3:$BX$113,MATCH(B573,Mortalidad_H!$A$3:$A$113,0),MATCH(MIN(C573,2100),Mortalidad_H!$B$2:$BX$2,0)),INDEX(Mortalidad_M!$B$3:$BX$93,MATCH(B573,Mortalidad_M!$A$3:$A$93,0),MATCH(MIN(C573,2100),Mortalidad_M!$B$2:$BX$2,0))),1)</f>
        <v/>
      </c>
      <c r="E573" s="15">
        <f>1-(1-D573)^(1/12)</f>
        <v/>
      </c>
      <c r="F573" s="16">
        <f>F572*(1-E572)</f>
        <v/>
      </c>
      <c r="G573" s="16">
        <f>1/(1+$C$7)^(A573/12)</f>
        <v/>
      </c>
      <c r="H573" s="16">
        <f>F573*G573</f>
        <v/>
      </c>
    </row>
    <row r="574">
      <c r="A574" s="14" t="n">
        <v>562</v>
      </c>
      <c r="B574">
        <f>$C$5+INT(A574/12)</f>
        <v/>
      </c>
      <c r="C574">
        <f>Parametros!$B$5+INT(A574/12)</f>
        <v/>
      </c>
      <c r="D574" s="15">
        <f>IFERROR(IF($C$4="H",INDEX(Mortalidad_H!$B$3:$BX$113,MATCH(B574,Mortalidad_H!$A$3:$A$113,0),MATCH(MIN(C574,2100),Mortalidad_H!$B$2:$BX$2,0)),INDEX(Mortalidad_M!$B$3:$BX$93,MATCH(B574,Mortalidad_M!$A$3:$A$93,0),MATCH(MIN(C574,2100),Mortalidad_M!$B$2:$BX$2,0))),1)</f>
        <v/>
      </c>
      <c r="E574" s="15">
        <f>1-(1-D574)^(1/12)</f>
        <v/>
      </c>
      <c r="F574" s="16">
        <f>F573*(1-E573)</f>
        <v/>
      </c>
      <c r="G574" s="16">
        <f>1/(1+$C$7)^(A574/12)</f>
        <v/>
      </c>
      <c r="H574" s="16">
        <f>F574*G574</f>
        <v/>
      </c>
    </row>
    <row r="575">
      <c r="A575" s="14" t="n">
        <v>563</v>
      </c>
      <c r="B575">
        <f>$C$5+INT(A575/12)</f>
        <v/>
      </c>
      <c r="C575">
        <f>Parametros!$B$5+INT(A575/12)</f>
        <v/>
      </c>
      <c r="D575" s="15">
        <f>IFERROR(IF($C$4="H",INDEX(Mortalidad_H!$B$3:$BX$113,MATCH(B575,Mortalidad_H!$A$3:$A$113,0),MATCH(MIN(C575,2100),Mortalidad_H!$B$2:$BX$2,0)),INDEX(Mortalidad_M!$B$3:$BX$93,MATCH(B575,Mortalidad_M!$A$3:$A$93,0),MATCH(MIN(C575,2100),Mortalidad_M!$B$2:$BX$2,0))),1)</f>
        <v/>
      </c>
      <c r="E575" s="15">
        <f>1-(1-D575)^(1/12)</f>
        <v/>
      </c>
      <c r="F575" s="16">
        <f>F574*(1-E574)</f>
        <v/>
      </c>
      <c r="G575" s="16">
        <f>1/(1+$C$7)^(A575/12)</f>
        <v/>
      </c>
      <c r="H575" s="16">
        <f>F575*G575</f>
        <v/>
      </c>
    </row>
    <row r="576">
      <c r="A576" s="14" t="n">
        <v>564</v>
      </c>
      <c r="B576">
        <f>$C$5+INT(A576/12)</f>
        <v/>
      </c>
      <c r="C576">
        <f>Parametros!$B$5+INT(A576/12)</f>
        <v/>
      </c>
      <c r="D576" s="15">
        <f>IFERROR(IF($C$4="H",INDEX(Mortalidad_H!$B$3:$BX$113,MATCH(B576,Mortalidad_H!$A$3:$A$113,0),MATCH(MIN(C576,2100),Mortalidad_H!$B$2:$BX$2,0)),INDEX(Mortalidad_M!$B$3:$BX$93,MATCH(B576,Mortalidad_M!$A$3:$A$93,0),MATCH(MIN(C576,2100),Mortalidad_M!$B$2:$BX$2,0))),1)</f>
        <v/>
      </c>
      <c r="E576" s="15">
        <f>1-(1-D576)^(1/12)</f>
        <v/>
      </c>
      <c r="F576" s="16">
        <f>F575*(1-E575)</f>
        <v/>
      </c>
      <c r="G576" s="16">
        <f>1/(1+$C$7)^(A576/12)</f>
        <v/>
      </c>
      <c r="H576" s="16">
        <f>F576*G576</f>
        <v/>
      </c>
    </row>
    <row r="577">
      <c r="A577" s="14" t="n">
        <v>565</v>
      </c>
      <c r="B577">
        <f>$C$5+INT(A577/12)</f>
        <v/>
      </c>
      <c r="C577">
        <f>Parametros!$B$5+INT(A577/12)</f>
        <v/>
      </c>
      <c r="D577" s="15">
        <f>IFERROR(IF($C$4="H",INDEX(Mortalidad_H!$B$3:$BX$113,MATCH(B577,Mortalidad_H!$A$3:$A$113,0),MATCH(MIN(C577,2100),Mortalidad_H!$B$2:$BX$2,0)),INDEX(Mortalidad_M!$B$3:$BX$93,MATCH(B577,Mortalidad_M!$A$3:$A$93,0),MATCH(MIN(C577,2100),Mortalidad_M!$B$2:$BX$2,0))),1)</f>
        <v/>
      </c>
      <c r="E577" s="15">
        <f>1-(1-D577)^(1/12)</f>
        <v/>
      </c>
      <c r="F577" s="16">
        <f>F576*(1-E576)</f>
        <v/>
      </c>
      <c r="G577" s="16">
        <f>1/(1+$C$7)^(A577/12)</f>
        <v/>
      </c>
      <c r="H577" s="16">
        <f>F577*G577</f>
        <v/>
      </c>
    </row>
    <row r="578">
      <c r="A578" s="14" t="n">
        <v>566</v>
      </c>
      <c r="B578">
        <f>$C$5+INT(A578/12)</f>
        <v/>
      </c>
      <c r="C578">
        <f>Parametros!$B$5+INT(A578/12)</f>
        <v/>
      </c>
      <c r="D578" s="15">
        <f>IFERROR(IF($C$4="H",INDEX(Mortalidad_H!$B$3:$BX$113,MATCH(B578,Mortalidad_H!$A$3:$A$113,0),MATCH(MIN(C578,2100),Mortalidad_H!$B$2:$BX$2,0)),INDEX(Mortalidad_M!$B$3:$BX$93,MATCH(B578,Mortalidad_M!$A$3:$A$93,0),MATCH(MIN(C578,2100),Mortalidad_M!$B$2:$BX$2,0))),1)</f>
        <v/>
      </c>
      <c r="E578" s="15">
        <f>1-(1-D578)^(1/12)</f>
        <v/>
      </c>
      <c r="F578" s="16">
        <f>F577*(1-E577)</f>
        <v/>
      </c>
      <c r="G578" s="16">
        <f>1/(1+$C$7)^(A578/12)</f>
        <v/>
      </c>
      <c r="H578" s="16">
        <f>F578*G578</f>
        <v/>
      </c>
    </row>
    <row r="579">
      <c r="A579" s="14" t="n">
        <v>567</v>
      </c>
      <c r="B579">
        <f>$C$5+INT(A579/12)</f>
        <v/>
      </c>
      <c r="C579">
        <f>Parametros!$B$5+INT(A579/12)</f>
        <v/>
      </c>
      <c r="D579" s="15">
        <f>IFERROR(IF($C$4="H",INDEX(Mortalidad_H!$B$3:$BX$113,MATCH(B579,Mortalidad_H!$A$3:$A$113,0),MATCH(MIN(C579,2100),Mortalidad_H!$B$2:$BX$2,0)),INDEX(Mortalidad_M!$B$3:$BX$93,MATCH(B579,Mortalidad_M!$A$3:$A$93,0),MATCH(MIN(C579,2100),Mortalidad_M!$B$2:$BX$2,0))),1)</f>
        <v/>
      </c>
      <c r="E579" s="15">
        <f>1-(1-D579)^(1/12)</f>
        <v/>
      </c>
      <c r="F579" s="16">
        <f>F578*(1-E578)</f>
        <v/>
      </c>
      <c r="G579" s="16">
        <f>1/(1+$C$7)^(A579/12)</f>
        <v/>
      </c>
      <c r="H579" s="16">
        <f>F579*G579</f>
        <v/>
      </c>
    </row>
    <row r="580">
      <c r="A580" s="14" t="n">
        <v>568</v>
      </c>
      <c r="B580">
        <f>$C$5+INT(A580/12)</f>
        <v/>
      </c>
      <c r="C580">
        <f>Parametros!$B$5+INT(A580/12)</f>
        <v/>
      </c>
      <c r="D580" s="15">
        <f>IFERROR(IF($C$4="H",INDEX(Mortalidad_H!$B$3:$BX$113,MATCH(B580,Mortalidad_H!$A$3:$A$113,0),MATCH(MIN(C580,2100),Mortalidad_H!$B$2:$BX$2,0)),INDEX(Mortalidad_M!$B$3:$BX$93,MATCH(B580,Mortalidad_M!$A$3:$A$93,0),MATCH(MIN(C580,2100),Mortalidad_M!$B$2:$BX$2,0))),1)</f>
        <v/>
      </c>
      <c r="E580" s="15">
        <f>1-(1-D580)^(1/12)</f>
        <v/>
      </c>
      <c r="F580" s="16">
        <f>F579*(1-E579)</f>
        <v/>
      </c>
      <c r="G580" s="16">
        <f>1/(1+$C$7)^(A580/12)</f>
        <v/>
      </c>
      <c r="H580" s="16">
        <f>F580*G580</f>
        <v/>
      </c>
    </row>
    <row r="581">
      <c r="A581" s="14" t="n">
        <v>569</v>
      </c>
      <c r="B581">
        <f>$C$5+INT(A581/12)</f>
        <v/>
      </c>
      <c r="C581">
        <f>Parametros!$B$5+INT(A581/12)</f>
        <v/>
      </c>
      <c r="D581" s="15">
        <f>IFERROR(IF($C$4="H",INDEX(Mortalidad_H!$B$3:$BX$113,MATCH(B581,Mortalidad_H!$A$3:$A$113,0),MATCH(MIN(C581,2100),Mortalidad_H!$B$2:$BX$2,0)),INDEX(Mortalidad_M!$B$3:$BX$93,MATCH(B581,Mortalidad_M!$A$3:$A$93,0),MATCH(MIN(C581,2100),Mortalidad_M!$B$2:$BX$2,0))),1)</f>
        <v/>
      </c>
      <c r="E581" s="15">
        <f>1-(1-D581)^(1/12)</f>
        <v/>
      </c>
      <c r="F581" s="16">
        <f>F580*(1-E580)</f>
        <v/>
      </c>
      <c r="G581" s="16">
        <f>1/(1+$C$7)^(A581/12)</f>
        <v/>
      </c>
      <c r="H581" s="16">
        <f>F581*G581</f>
        <v/>
      </c>
    </row>
    <row r="582">
      <c r="A582" s="14" t="n">
        <v>570</v>
      </c>
      <c r="B582">
        <f>$C$5+INT(A582/12)</f>
        <v/>
      </c>
      <c r="C582">
        <f>Parametros!$B$5+INT(A582/12)</f>
        <v/>
      </c>
      <c r="D582" s="15">
        <f>IFERROR(IF($C$4="H",INDEX(Mortalidad_H!$B$3:$BX$113,MATCH(B582,Mortalidad_H!$A$3:$A$113,0),MATCH(MIN(C582,2100),Mortalidad_H!$B$2:$BX$2,0)),INDEX(Mortalidad_M!$B$3:$BX$93,MATCH(B582,Mortalidad_M!$A$3:$A$93,0),MATCH(MIN(C582,2100),Mortalidad_M!$B$2:$BX$2,0))),1)</f>
        <v/>
      </c>
      <c r="E582" s="15">
        <f>1-(1-D582)^(1/12)</f>
        <v/>
      </c>
      <c r="F582" s="16">
        <f>F581*(1-E581)</f>
        <v/>
      </c>
      <c r="G582" s="16">
        <f>1/(1+$C$7)^(A582/12)</f>
        <v/>
      </c>
      <c r="H582" s="16">
        <f>F582*G582</f>
        <v/>
      </c>
    </row>
    <row r="583">
      <c r="A583" s="14" t="n">
        <v>571</v>
      </c>
      <c r="B583">
        <f>$C$5+INT(A583/12)</f>
        <v/>
      </c>
      <c r="C583">
        <f>Parametros!$B$5+INT(A583/12)</f>
        <v/>
      </c>
      <c r="D583" s="15">
        <f>IFERROR(IF($C$4="H",INDEX(Mortalidad_H!$B$3:$BX$113,MATCH(B583,Mortalidad_H!$A$3:$A$113,0),MATCH(MIN(C583,2100),Mortalidad_H!$B$2:$BX$2,0)),INDEX(Mortalidad_M!$B$3:$BX$93,MATCH(B583,Mortalidad_M!$A$3:$A$93,0),MATCH(MIN(C583,2100),Mortalidad_M!$B$2:$BX$2,0))),1)</f>
        <v/>
      </c>
      <c r="E583" s="15">
        <f>1-(1-D583)^(1/12)</f>
        <v/>
      </c>
      <c r="F583" s="16">
        <f>F582*(1-E582)</f>
        <v/>
      </c>
      <c r="G583" s="16">
        <f>1/(1+$C$7)^(A583/12)</f>
        <v/>
      </c>
      <c r="H583" s="16">
        <f>F583*G583</f>
        <v/>
      </c>
    </row>
    <row r="584">
      <c r="A584" s="14" t="n">
        <v>572</v>
      </c>
      <c r="B584">
        <f>$C$5+INT(A584/12)</f>
        <v/>
      </c>
      <c r="C584">
        <f>Parametros!$B$5+INT(A584/12)</f>
        <v/>
      </c>
      <c r="D584" s="15">
        <f>IFERROR(IF($C$4="H",INDEX(Mortalidad_H!$B$3:$BX$113,MATCH(B584,Mortalidad_H!$A$3:$A$113,0),MATCH(MIN(C584,2100),Mortalidad_H!$B$2:$BX$2,0)),INDEX(Mortalidad_M!$B$3:$BX$93,MATCH(B584,Mortalidad_M!$A$3:$A$93,0),MATCH(MIN(C584,2100),Mortalidad_M!$B$2:$BX$2,0))),1)</f>
        <v/>
      </c>
      <c r="E584" s="15">
        <f>1-(1-D584)^(1/12)</f>
        <v/>
      </c>
      <c r="F584" s="16">
        <f>F583*(1-E583)</f>
        <v/>
      </c>
      <c r="G584" s="16">
        <f>1/(1+$C$7)^(A584/12)</f>
        <v/>
      </c>
      <c r="H584" s="16">
        <f>F584*G584</f>
        <v/>
      </c>
    </row>
    <row r="585">
      <c r="A585" s="14" t="n">
        <v>573</v>
      </c>
      <c r="B585">
        <f>$C$5+INT(A585/12)</f>
        <v/>
      </c>
      <c r="C585">
        <f>Parametros!$B$5+INT(A585/12)</f>
        <v/>
      </c>
      <c r="D585" s="15">
        <f>IFERROR(IF($C$4="H",INDEX(Mortalidad_H!$B$3:$BX$113,MATCH(B585,Mortalidad_H!$A$3:$A$113,0),MATCH(MIN(C585,2100),Mortalidad_H!$B$2:$BX$2,0)),INDEX(Mortalidad_M!$B$3:$BX$93,MATCH(B585,Mortalidad_M!$A$3:$A$93,0),MATCH(MIN(C585,2100),Mortalidad_M!$B$2:$BX$2,0))),1)</f>
        <v/>
      </c>
      <c r="E585" s="15">
        <f>1-(1-D585)^(1/12)</f>
        <v/>
      </c>
      <c r="F585" s="16">
        <f>F584*(1-E584)</f>
        <v/>
      </c>
      <c r="G585" s="16">
        <f>1/(1+$C$7)^(A585/12)</f>
        <v/>
      </c>
      <c r="H585" s="16">
        <f>F585*G585</f>
        <v/>
      </c>
    </row>
    <row r="586">
      <c r="A586" s="14" t="n">
        <v>574</v>
      </c>
      <c r="B586">
        <f>$C$5+INT(A586/12)</f>
        <v/>
      </c>
      <c r="C586">
        <f>Parametros!$B$5+INT(A586/12)</f>
        <v/>
      </c>
      <c r="D586" s="15">
        <f>IFERROR(IF($C$4="H",INDEX(Mortalidad_H!$B$3:$BX$113,MATCH(B586,Mortalidad_H!$A$3:$A$113,0),MATCH(MIN(C586,2100),Mortalidad_H!$B$2:$BX$2,0)),INDEX(Mortalidad_M!$B$3:$BX$93,MATCH(B586,Mortalidad_M!$A$3:$A$93,0),MATCH(MIN(C586,2100),Mortalidad_M!$B$2:$BX$2,0))),1)</f>
        <v/>
      </c>
      <c r="E586" s="15">
        <f>1-(1-D586)^(1/12)</f>
        <v/>
      </c>
      <c r="F586" s="16">
        <f>F585*(1-E585)</f>
        <v/>
      </c>
      <c r="G586" s="16">
        <f>1/(1+$C$7)^(A586/12)</f>
        <v/>
      </c>
      <c r="H586" s="16">
        <f>F586*G586</f>
        <v/>
      </c>
    </row>
    <row r="587">
      <c r="A587" s="14" t="n">
        <v>575</v>
      </c>
      <c r="B587">
        <f>$C$5+INT(A587/12)</f>
        <v/>
      </c>
      <c r="C587">
        <f>Parametros!$B$5+INT(A587/12)</f>
        <v/>
      </c>
      <c r="D587" s="15">
        <f>IFERROR(IF($C$4="H",INDEX(Mortalidad_H!$B$3:$BX$113,MATCH(B587,Mortalidad_H!$A$3:$A$113,0),MATCH(MIN(C587,2100),Mortalidad_H!$B$2:$BX$2,0)),INDEX(Mortalidad_M!$B$3:$BX$93,MATCH(B587,Mortalidad_M!$A$3:$A$93,0),MATCH(MIN(C587,2100),Mortalidad_M!$B$2:$BX$2,0))),1)</f>
        <v/>
      </c>
      <c r="E587" s="15">
        <f>1-(1-D587)^(1/12)</f>
        <v/>
      </c>
      <c r="F587" s="16">
        <f>F586*(1-E586)</f>
        <v/>
      </c>
      <c r="G587" s="16">
        <f>1/(1+$C$7)^(A587/12)</f>
        <v/>
      </c>
      <c r="H587" s="16">
        <f>F587*G587</f>
        <v/>
      </c>
    </row>
    <row r="588">
      <c r="A588" s="14" t="n">
        <v>576</v>
      </c>
      <c r="B588">
        <f>$C$5+INT(A588/12)</f>
        <v/>
      </c>
      <c r="C588">
        <f>Parametros!$B$5+INT(A588/12)</f>
        <v/>
      </c>
      <c r="D588" s="15">
        <f>IFERROR(IF($C$4="H",INDEX(Mortalidad_H!$B$3:$BX$113,MATCH(B588,Mortalidad_H!$A$3:$A$113,0),MATCH(MIN(C588,2100),Mortalidad_H!$B$2:$BX$2,0)),INDEX(Mortalidad_M!$B$3:$BX$93,MATCH(B588,Mortalidad_M!$A$3:$A$93,0),MATCH(MIN(C588,2100),Mortalidad_M!$B$2:$BX$2,0))),1)</f>
        <v/>
      </c>
      <c r="E588" s="15">
        <f>1-(1-D588)^(1/12)</f>
        <v/>
      </c>
      <c r="F588" s="16">
        <f>F587*(1-E587)</f>
        <v/>
      </c>
      <c r="G588" s="16">
        <f>1/(1+$C$7)^(A588/12)</f>
        <v/>
      </c>
      <c r="H588" s="16">
        <f>F588*G588</f>
        <v/>
      </c>
    </row>
    <row r="589">
      <c r="A589" s="14" t="n">
        <v>577</v>
      </c>
      <c r="B589">
        <f>$C$5+INT(A589/12)</f>
        <v/>
      </c>
      <c r="C589">
        <f>Parametros!$B$5+INT(A589/12)</f>
        <v/>
      </c>
      <c r="D589" s="15">
        <f>IFERROR(IF($C$4="H",INDEX(Mortalidad_H!$B$3:$BX$113,MATCH(B589,Mortalidad_H!$A$3:$A$113,0),MATCH(MIN(C589,2100),Mortalidad_H!$B$2:$BX$2,0)),INDEX(Mortalidad_M!$B$3:$BX$93,MATCH(B589,Mortalidad_M!$A$3:$A$93,0),MATCH(MIN(C589,2100),Mortalidad_M!$B$2:$BX$2,0))),1)</f>
        <v/>
      </c>
      <c r="E589" s="15">
        <f>1-(1-D589)^(1/12)</f>
        <v/>
      </c>
      <c r="F589" s="16">
        <f>F588*(1-E588)</f>
        <v/>
      </c>
      <c r="G589" s="16">
        <f>1/(1+$C$7)^(A589/12)</f>
        <v/>
      </c>
      <c r="H589" s="16">
        <f>F589*G589</f>
        <v/>
      </c>
    </row>
    <row r="590">
      <c r="A590" s="14" t="n">
        <v>578</v>
      </c>
      <c r="B590">
        <f>$C$5+INT(A590/12)</f>
        <v/>
      </c>
      <c r="C590">
        <f>Parametros!$B$5+INT(A590/12)</f>
        <v/>
      </c>
      <c r="D590" s="15">
        <f>IFERROR(IF($C$4="H",INDEX(Mortalidad_H!$B$3:$BX$113,MATCH(B590,Mortalidad_H!$A$3:$A$113,0),MATCH(MIN(C590,2100),Mortalidad_H!$B$2:$BX$2,0)),INDEX(Mortalidad_M!$B$3:$BX$93,MATCH(B590,Mortalidad_M!$A$3:$A$93,0),MATCH(MIN(C590,2100),Mortalidad_M!$B$2:$BX$2,0))),1)</f>
        <v/>
      </c>
      <c r="E590" s="15">
        <f>1-(1-D590)^(1/12)</f>
        <v/>
      </c>
      <c r="F590" s="16">
        <f>F589*(1-E589)</f>
        <v/>
      </c>
      <c r="G590" s="16">
        <f>1/(1+$C$7)^(A590/12)</f>
        <v/>
      </c>
      <c r="H590" s="16">
        <f>F590*G590</f>
        <v/>
      </c>
    </row>
    <row r="591">
      <c r="A591" s="14" t="n">
        <v>579</v>
      </c>
      <c r="B591">
        <f>$C$5+INT(A591/12)</f>
        <v/>
      </c>
      <c r="C591">
        <f>Parametros!$B$5+INT(A591/12)</f>
        <v/>
      </c>
      <c r="D591" s="15">
        <f>IFERROR(IF($C$4="H",INDEX(Mortalidad_H!$B$3:$BX$113,MATCH(B591,Mortalidad_H!$A$3:$A$113,0),MATCH(MIN(C591,2100),Mortalidad_H!$B$2:$BX$2,0)),INDEX(Mortalidad_M!$B$3:$BX$93,MATCH(B591,Mortalidad_M!$A$3:$A$93,0),MATCH(MIN(C591,2100),Mortalidad_M!$B$2:$BX$2,0))),1)</f>
        <v/>
      </c>
      <c r="E591" s="15">
        <f>1-(1-D591)^(1/12)</f>
        <v/>
      </c>
      <c r="F591" s="16">
        <f>F590*(1-E590)</f>
        <v/>
      </c>
      <c r="G591" s="16">
        <f>1/(1+$C$7)^(A591/12)</f>
        <v/>
      </c>
      <c r="H591" s="16">
        <f>F591*G591</f>
        <v/>
      </c>
    </row>
    <row r="592">
      <c r="A592" s="14" t="n">
        <v>580</v>
      </c>
      <c r="B592">
        <f>$C$5+INT(A592/12)</f>
        <v/>
      </c>
      <c r="C592">
        <f>Parametros!$B$5+INT(A592/12)</f>
        <v/>
      </c>
      <c r="D592" s="15">
        <f>IFERROR(IF($C$4="H",INDEX(Mortalidad_H!$B$3:$BX$113,MATCH(B592,Mortalidad_H!$A$3:$A$113,0),MATCH(MIN(C592,2100),Mortalidad_H!$B$2:$BX$2,0)),INDEX(Mortalidad_M!$B$3:$BX$93,MATCH(B592,Mortalidad_M!$A$3:$A$93,0),MATCH(MIN(C592,2100),Mortalidad_M!$B$2:$BX$2,0))),1)</f>
        <v/>
      </c>
      <c r="E592" s="15">
        <f>1-(1-D592)^(1/12)</f>
        <v/>
      </c>
      <c r="F592" s="16">
        <f>F591*(1-E591)</f>
        <v/>
      </c>
      <c r="G592" s="16">
        <f>1/(1+$C$7)^(A592/12)</f>
        <v/>
      </c>
      <c r="H592" s="16">
        <f>F592*G592</f>
        <v/>
      </c>
    </row>
    <row r="593">
      <c r="A593" s="14" t="n">
        <v>581</v>
      </c>
      <c r="B593">
        <f>$C$5+INT(A593/12)</f>
        <v/>
      </c>
      <c r="C593">
        <f>Parametros!$B$5+INT(A593/12)</f>
        <v/>
      </c>
      <c r="D593" s="15">
        <f>IFERROR(IF($C$4="H",INDEX(Mortalidad_H!$B$3:$BX$113,MATCH(B593,Mortalidad_H!$A$3:$A$113,0),MATCH(MIN(C593,2100),Mortalidad_H!$B$2:$BX$2,0)),INDEX(Mortalidad_M!$B$3:$BX$93,MATCH(B593,Mortalidad_M!$A$3:$A$93,0),MATCH(MIN(C593,2100),Mortalidad_M!$B$2:$BX$2,0))),1)</f>
        <v/>
      </c>
      <c r="E593" s="15">
        <f>1-(1-D593)^(1/12)</f>
        <v/>
      </c>
      <c r="F593" s="16">
        <f>F592*(1-E592)</f>
        <v/>
      </c>
      <c r="G593" s="16">
        <f>1/(1+$C$7)^(A593/12)</f>
        <v/>
      </c>
      <c r="H593" s="16">
        <f>F593*G593</f>
        <v/>
      </c>
    </row>
    <row r="594">
      <c r="A594" s="14" t="n">
        <v>582</v>
      </c>
      <c r="B594">
        <f>$C$5+INT(A594/12)</f>
        <v/>
      </c>
      <c r="C594">
        <f>Parametros!$B$5+INT(A594/12)</f>
        <v/>
      </c>
      <c r="D594" s="15">
        <f>IFERROR(IF($C$4="H",INDEX(Mortalidad_H!$B$3:$BX$113,MATCH(B594,Mortalidad_H!$A$3:$A$113,0),MATCH(MIN(C594,2100),Mortalidad_H!$B$2:$BX$2,0)),INDEX(Mortalidad_M!$B$3:$BX$93,MATCH(B594,Mortalidad_M!$A$3:$A$93,0),MATCH(MIN(C594,2100),Mortalidad_M!$B$2:$BX$2,0))),1)</f>
        <v/>
      </c>
      <c r="E594" s="15">
        <f>1-(1-D594)^(1/12)</f>
        <v/>
      </c>
      <c r="F594" s="16">
        <f>F593*(1-E593)</f>
        <v/>
      </c>
      <c r="G594" s="16">
        <f>1/(1+$C$7)^(A594/12)</f>
        <v/>
      </c>
      <c r="H594" s="16">
        <f>F594*G594</f>
        <v/>
      </c>
    </row>
    <row r="595">
      <c r="A595" s="14" t="n">
        <v>583</v>
      </c>
      <c r="B595">
        <f>$C$5+INT(A595/12)</f>
        <v/>
      </c>
      <c r="C595">
        <f>Parametros!$B$5+INT(A595/12)</f>
        <v/>
      </c>
      <c r="D595" s="15">
        <f>IFERROR(IF($C$4="H",INDEX(Mortalidad_H!$B$3:$BX$113,MATCH(B595,Mortalidad_H!$A$3:$A$113,0),MATCH(MIN(C595,2100),Mortalidad_H!$B$2:$BX$2,0)),INDEX(Mortalidad_M!$B$3:$BX$93,MATCH(B595,Mortalidad_M!$A$3:$A$93,0),MATCH(MIN(C595,2100),Mortalidad_M!$B$2:$BX$2,0))),1)</f>
        <v/>
      </c>
      <c r="E595" s="15">
        <f>1-(1-D595)^(1/12)</f>
        <v/>
      </c>
      <c r="F595" s="16">
        <f>F594*(1-E594)</f>
        <v/>
      </c>
      <c r="G595" s="16">
        <f>1/(1+$C$7)^(A595/12)</f>
        <v/>
      </c>
      <c r="H595" s="16">
        <f>F595*G595</f>
        <v/>
      </c>
    </row>
    <row r="596">
      <c r="A596" s="14" t="n">
        <v>584</v>
      </c>
      <c r="B596">
        <f>$C$5+INT(A596/12)</f>
        <v/>
      </c>
      <c r="C596">
        <f>Parametros!$B$5+INT(A596/12)</f>
        <v/>
      </c>
      <c r="D596" s="15">
        <f>IFERROR(IF($C$4="H",INDEX(Mortalidad_H!$B$3:$BX$113,MATCH(B596,Mortalidad_H!$A$3:$A$113,0),MATCH(MIN(C596,2100),Mortalidad_H!$B$2:$BX$2,0)),INDEX(Mortalidad_M!$B$3:$BX$93,MATCH(B596,Mortalidad_M!$A$3:$A$93,0),MATCH(MIN(C596,2100),Mortalidad_M!$B$2:$BX$2,0))),1)</f>
        <v/>
      </c>
      <c r="E596" s="15">
        <f>1-(1-D596)^(1/12)</f>
        <v/>
      </c>
      <c r="F596" s="16">
        <f>F595*(1-E595)</f>
        <v/>
      </c>
      <c r="G596" s="16">
        <f>1/(1+$C$7)^(A596/12)</f>
        <v/>
      </c>
      <c r="H596" s="16">
        <f>F596*G596</f>
        <v/>
      </c>
    </row>
    <row r="597">
      <c r="A597" s="14" t="n">
        <v>585</v>
      </c>
      <c r="B597">
        <f>$C$5+INT(A597/12)</f>
        <v/>
      </c>
      <c r="C597">
        <f>Parametros!$B$5+INT(A597/12)</f>
        <v/>
      </c>
      <c r="D597" s="15">
        <f>IFERROR(IF($C$4="H",INDEX(Mortalidad_H!$B$3:$BX$113,MATCH(B597,Mortalidad_H!$A$3:$A$113,0),MATCH(MIN(C597,2100),Mortalidad_H!$B$2:$BX$2,0)),INDEX(Mortalidad_M!$B$3:$BX$93,MATCH(B597,Mortalidad_M!$A$3:$A$93,0),MATCH(MIN(C597,2100),Mortalidad_M!$B$2:$BX$2,0))),1)</f>
        <v/>
      </c>
      <c r="E597" s="15">
        <f>1-(1-D597)^(1/12)</f>
        <v/>
      </c>
      <c r="F597" s="16">
        <f>F596*(1-E596)</f>
        <v/>
      </c>
      <c r="G597" s="16">
        <f>1/(1+$C$7)^(A597/12)</f>
        <v/>
      </c>
      <c r="H597" s="16">
        <f>F597*G597</f>
        <v/>
      </c>
    </row>
    <row r="598">
      <c r="A598" s="14" t="n">
        <v>586</v>
      </c>
      <c r="B598">
        <f>$C$5+INT(A598/12)</f>
        <v/>
      </c>
      <c r="C598">
        <f>Parametros!$B$5+INT(A598/12)</f>
        <v/>
      </c>
      <c r="D598" s="15">
        <f>IFERROR(IF($C$4="H",INDEX(Mortalidad_H!$B$3:$BX$113,MATCH(B598,Mortalidad_H!$A$3:$A$113,0),MATCH(MIN(C598,2100),Mortalidad_H!$B$2:$BX$2,0)),INDEX(Mortalidad_M!$B$3:$BX$93,MATCH(B598,Mortalidad_M!$A$3:$A$93,0),MATCH(MIN(C598,2100),Mortalidad_M!$B$2:$BX$2,0))),1)</f>
        <v/>
      </c>
      <c r="E598" s="15">
        <f>1-(1-D598)^(1/12)</f>
        <v/>
      </c>
      <c r="F598" s="16">
        <f>F597*(1-E597)</f>
        <v/>
      </c>
      <c r="G598" s="16">
        <f>1/(1+$C$7)^(A598/12)</f>
        <v/>
      </c>
      <c r="H598" s="16">
        <f>F598*G598</f>
        <v/>
      </c>
    </row>
    <row r="599">
      <c r="A599" s="14" t="n">
        <v>587</v>
      </c>
      <c r="B599">
        <f>$C$5+INT(A599/12)</f>
        <v/>
      </c>
      <c r="C599">
        <f>Parametros!$B$5+INT(A599/12)</f>
        <v/>
      </c>
      <c r="D599" s="15">
        <f>IFERROR(IF($C$4="H",INDEX(Mortalidad_H!$B$3:$BX$113,MATCH(B599,Mortalidad_H!$A$3:$A$113,0),MATCH(MIN(C599,2100),Mortalidad_H!$B$2:$BX$2,0)),INDEX(Mortalidad_M!$B$3:$BX$93,MATCH(B599,Mortalidad_M!$A$3:$A$93,0),MATCH(MIN(C599,2100),Mortalidad_M!$B$2:$BX$2,0))),1)</f>
        <v/>
      </c>
      <c r="E599" s="15">
        <f>1-(1-D599)^(1/12)</f>
        <v/>
      </c>
      <c r="F599" s="16">
        <f>F598*(1-E598)</f>
        <v/>
      </c>
      <c r="G599" s="16">
        <f>1/(1+$C$7)^(A599/12)</f>
        <v/>
      </c>
      <c r="H599" s="16">
        <f>F599*G599</f>
        <v/>
      </c>
    </row>
    <row r="600">
      <c r="A600" s="14" t="n">
        <v>588</v>
      </c>
      <c r="B600">
        <f>$C$5+INT(A600/12)</f>
        <v/>
      </c>
      <c r="C600">
        <f>Parametros!$B$5+INT(A600/12)</f>
        <v/>
      </c>
      <c r="D600" s="15">
        <f>IFERROR(IF($C$4="H",INDEX(Mortalidad_H!$B$3:$BX$113,MATCH(B600,Mortalidad_H!$A$3:$A$113,0),MATCH(MIN(C600,2100),Mortalidad_H!$B$2:$BX$2,0)),INDEX(Mortalidad_M!$B$3:$BX$93,MATCH(B600,Mortalidad_M!$A$3:$A$93,0),MATCH(MIN(C600,2100),Mortalidad_M!$B$2:$BX$2,0))),1)</f>
        <v/>
      </c>
      <c r="E600" s="15">
        <f>1-(1-D600)^(1/12)</f>
        <v/>
      </c>
      <c r="F600" s="16">
        <f>F599*(1-E599)</f>
        <v/>
      </c>
      <c r="G600" s="16">
        <f>1/(1+$C$7)^(A600/12)</f>
        <v/>
      </c>
      <c r="H600" s="16">
        <f>F600*G600</f>
        <v/>
      </c>
    </row>
    <row r="601">
      <c r="A601" s="14" t="n">
        <v>589</v>
      </c>
      <c r="B601">
        <f>$C$5+INT(A601/12)</f>
        <v/>
      </c>
      <c r="C601">
        <f>Parametros!$B$5+INT(A601/12)</f>
        <v/>
      </c>
      <c r="D601" s="15">
        <f>IFERROR(IF($C$4="H",INDEX(Mortalidad_H!$B$3:$BX$113,MATCH(B601,Mortalidad_H!$A$3:$A$113,0),MATCH(MIN(C601,2100),Mortalidad_H!$B$2:$BX$2,0)),INDEX(Mortalidad_M!$B$3:$BX$93,MATCH(B601,Mortalidad_M!$A$3:$A$93,0),MATCH(MIN(C601,2100),Mortalidad_M!$B$2:$BX$2,0))),1)</f>
        <v/>
      </c>
      <c r="E601" s="15">
        <f>1-(1-D601)^(1/12)</f>
        <v/>
      </c>
      <c r="F601" s="16">
        <f>F600*(1-E600)</f>
        <v/>
      </c>
      <c r="G601" s="16">
        <f>1/(1+$C$7)^(A601/12)</f>
        <v/>
      </c>
      <c r="H601" s="16">
        <f>F601*G601</f>
        <v/>
      </c>
    </row>
    <row r="602">
      <c r="A602" s="14" t="n">
        <v>590</v>
      </c>
      <c r="B602">
        <f>$C$5+INT(A602/12)</f>
        <v/>
      </c>
      <c r="C602">
        <f>Parametros!$B$5+INT(A602/12)</f>
        <v/>
      </c>
      <c r="D602" s="15">
        <f>IFERROR(IF($C$4="H",INDEX(Mortalidad_H!$B$3:$BX$113,MATCH(B602,Mortalidad_H!$A$3:$A$113,0),MATCH(MIN(C602,2100),Mortalidad_H!$B$2:$BX$2,0)),INDEX(Mortalidad_M!$B$3:$BX$93,MATCH(B602,Mortalidad_M!$A$3:$A$93,0),MATCH(MIN(C602,2100),Mortalidad_M!$B$2:$BX$2,0))),1)</f>
        <v/>
      </c>
      <c r="E602" s="15">
        <f>1-(1-D602)^(1/12)</f>
        <v/>
      </c>
      <c r="F602" s="16">
        <f>F601*(1-E601)</f>
        <v/>
      </c>
      <c r="G602" s="16">
        <f>1/(1+$C$7)^(A602/12)</f>
        <v/>
      </c>
      <c r="H602" s="16">
        <f>F602*G602</f>
        <v/>
      </c>
    </row>
    <row r="603">
      <c r="A603" s="14" t="n">
        <v>591</v>
      </c>
      <c r="B603">
        <f>$C$5+INT(A603/12)</f>
        <v/>
      </c>
      <c r="C603">
        <f>Parametros!$B$5+INT(A603/12)</f>
        <v/>
      </c>
      <c r="D603" s="15">
        <f>IFERROR(IF($C$4="H",INDEX(Mortalidad_H!$B$3:$BX$113,MATCH(B603,Mortalidad_H!$A$3:$A$113,0),MATCH(MIN(C603,2100),Mortalidad_H!$B$2:$BX$2,0)),INDEX(Mortalidad_M!$B$3:$BX$93,MATCH(B603,Mortalidad_M!$A$3:$A$93,0),MATCH(MIN(C603,2100),Mortalidad_M!$B$2:$BX$2,0))),1)</f>
        <v/>
      </c>
      <c r="E603" s="15">
        <f>1-(1-D603)^(1/12)</f>
        <v/>
      </c>
      <c r="F603" s="16">
        <f>F602*(1-E602)</f>
        <v/>
      </c>
      <c r="G603" s="16">
        <f>1/(1+$C$7)^(A603/12)</f>
        <v/>
      </c>
      <c r="H603" s="16">
        <f>F603*G603</f>
        <v/>
      </c>
    </row>
    <row r="604">
      <c r="A604" s="14" t="n">
        <v>592</v>
      </c>
      <c r="B604">
        <f>$C$5+INT(A604/12)</f>
        <v/>
      </c>
      <c r="C604">
        <f>Parametros!$B$5+INT(A604/12)</f>
        <v/>
      </c>
      <c r="D604" s="15">
        <f>IFERROR(IF($C$4="H",INDEX(Mortalidad_H!$B$3:$BX$113,MATCH(B604,Mortalidad_H!$A$3:$A$113,0),MATCH(MIN(C604,2100),Mortalidad_H!$B$2:$BX$2,0)),INDEX(Mortalidad_M!$B$3:$BX$93,MATCH(B604,Mortalidad_M!$A$3:$A$93,0),MATCH(MIN(C604,2100),Mortalidad_M!$B$2:$BX$2,0))),1)</f>
        <v/>
      </c>
      <c r="E604" s="15">
        <f>1-(1-D604)^(1/12)</f>
        <v/>
      </c>
      <c r="F604" s="16">
        <f>F603*(1-E603)</f>
        <v/>
      </c>
      <c r="G604" s="16">
        <f>1/(1+$C$7)^(A604/12)</f>
        <v/>
      </c>
      <c r="H604" s="16">
        <f>F604*G604</f>
        <v/>
      </c>
    </row>
    <row r="605">
      <c r="A605" s="14" t="n">
        <v>593</v>
      </c>
      <c r="B605">
        <f>$C$5+INT(A605/12)</f>
        <v/>
      </c>
      <c r="C605">
        <f>Parametros!$B$5+INT(A605/12)</f>
        <v/>
      </c>
      <c r="D605" s="15">
        <f>IFERROR(IF($C$4="H",INDEX(Mortalidad_H!$B$3:$BX$113,MATCH(B605,Mortalidad_H!$A$3:$A$113,0),MATCH(MIN(C605,2100),Mortalidad_H!$B$2:$BX$2,0)),INDEX(Mortalidad_M!$B$3:$BX$93,MATCH(B605,Mortalidad_M!$A$3:$A$93,0),MATCH(MIN(C605,2100),Mortalidad_M!$B$2:$BX$2,0))),1)</f>
        <v/>
      </c>
      <c r="E605" s="15">
        <f>1-(1-D605)^(1/12)</f>
        <v/>
      </c>
      <c r="F605" s="16">
        <f>F604*(1-E604)</f>
        <v/>
      </c>
      <c r="G605" s="16">
        <f>1/(1+$C$7)^(A605/12)</f>
        <v/>
      </c>
      <c r="H605" s="16">
        <f>F605*G605</f>
        <v/>
      </c>
    </row>
    <row r="606">
      <c r="A606" s="14" t="n">
        <v>594</v>
      </c>
      <c r="B606">
        <f>$C$5+INT(A606/12)</f>
        <v/>
      </c>
      <c r="C606">
        <f>Parametros!$B$5+INT(A606/12)</f>
        <v/>
      </c>
      <c r="D606" s="15">
        <f>IFERROR(IF($C$4="H",INDEX(Mortalidad_H!$B$3:$BX$113,MATCH(B606,Mortalidad_H!$A$3:$A$113,0),MATCH(MIN(C606,2100),Mortalidad_H!$B$2:$BX$2,0)),INDEX(Mortalidad_M!$B$3:$BX$93,MATCH(B606,Mortalidad_M!$A$3:$A$93,0),MATCH(MIN(C606,2100),Mortalidad_M!$B$2:$BX$2,0))),1)</f>
        <v/>
      </c>
      <c r="E606" s="15">
        <f>1-(1-D606)^(1/12)</f>
        <v/>
      </c>
      <c r="F606" s="16">
        <f>F605*(1-E605)</f>
        <v/>
      </c>
      <c r="G606" s="16">
        <f>1/(1+$C$7)^(A606/12)</f>
        <v/>
      </c>
      <c r="H606" s="16">
        <f>F606*G606</f>
        <v/>
      </c>
    </row>
    <row r="607">
      <c r="A607" s="14" t="n">
        <v>595</v>
      </c>
      <c r="B607">
        <f>$C$5+INT(A607/12)</f>
        <v/>
      </c>
      <c r="C607">
        <f>Parametros!$B$5+INT(A607/12)</f>
        <v/>
      </c>
      <c r="D607" s="15">
        <f>IFERROR(IF($C$4="H",INDEX(Mortalidad_H!$B$3:$BX$113,MATCH(B607,Mortalidad_H!$A$3:$A$113,0),MATCH(MIN(C607,2100),Mortalidad_H!$B$2:$BX$2,0)),INDEX(Mortalidad_M!$B$3:$BX$93,MATCH(B607,Mortalidad_M!$A$3:$A$93,0),MATCH(MIN(C607,2100),Mortalidad_M!$B$2:$BX$2,0))),1)</f>
        <v/>
      </c>
      <c r="E607" s="15">
        <f>1-(1-D607)^(1/12)</f>
        <v/>
      </c>
      <c r="F607" s="16">
        <f>F606*(1-E606)</f>
        <v/>
      </c>
      <c r="G607" s="16">
        <f>1/(1+$C$7)^(A607/12)</f>
        <v/>
      </c>
      <c r="H607" s="16">
        <f>F607*G607</f>
        <v/>
      </c>
    </row>
    <row r="608">
      <c r="A608" s="14" t="n">
        <v>596</v>
      </c>
      <c r="B608">
        <f>$C$5+INT(A608/12)</f>
        <v/>
      </c>
      <c r="C608">
        <f>Parametros!$B$5+INT(A608/12)</f>
        <v/>
      </c>
      <c r="D608" s="15">
        <f>IFERROR(IF($C$4="H",INDEX(Mortalidad_H!$B$3:$BX$113,MATCH(B608,Mortalidad_H!$A$3:$A$113,0),MATCH(MIN(C608,2100),Mortalidad_H!$B$2:$BX$2,0)),INDEX(Mortalidad_M!$B$3:$BX$93,MATCH(B608,Mortalidad_M!$A$3:$A$93,0),MATCH(MIN(C608,2100),Mortalidad_M!$B$2:$BX$2,0))),1)</f>
        <v/>
      </c>
      <c r="E608" s="15">
        <f>1-(1-D608)^(1/12)</f>
        <v/>
      </c>
      <c r="F608" s="16">
        <f>F607*(1-E607)</f>
        <v/>
      </c>
      <c r="G608" s="16">
        <f>1/(1+$C$7)^(A608/12)</f>
        <v/>
      </c>
      <c r="H608" s="16">
        <f>F608*G608</f>
        <v/>
      </c>
    </row>
    <row r="609">
      <c r="A609" s="14" t="n">
        <v>597</v>
      </c>
      <c r="B609">
        <f>$C$5+INT(A609/12)</f>
        <v/>
      </c>
      <c r="C609">
        <f>Parametros!$B$5+INT(A609/12)</f>
        <v/>
      </c>
      <c r="D609" s="15">
        <f>IFERROR(IF($C$4="H",INDEX(Mortalidad_H!$B$3:$BX$113,MATCH(B609,Mortalidad_H!$A$3:$A$113,0),MATCH(MIN(C609,2100),Mortalidad_H!$B$2:$BX$2,0)),INDEX(Mortalidad_M!$B$3:$BX$93,MATCH(B609,Mortalidad_M!$A$3:$A$93,0),MATCH(MIN(C609,2100),Mortalidad_M!$B$2:$BX$2,0))),1)</f>
        <v/>
      </c>
      <c r="E609" s="15">
        <f>1-(1-D609)^(1/12)</f>
        <v/>
      </c>
      <c r="F609" s="16">
        <f>F608*(1-E608)</f>
        <v/>
      </c>
      <c r="G609" s="16">
        <f>1/(1+$C$7)^(A609/12)</f>
        <v/>
      </c>
      <c r="H609" s="16">
        <f>F609*G609</f>
        <v/>
      </c>
    </row>
    <row r="610">
      <c r="A610" s="14" t="n">
        <v>598</v>
      </c>
      <c r="B610">
        <f>$C$5+INT(A610/12)</f>
        <v/>
      </c>
      <c r="C610">
        <f>Parametros!$B$5+INT(A610/12)</f>
        <v/>
      </c>
      <c r="D610" s="15">
        <f>IFERROR(IF($C$4="H",INDEX(Mortalidad_H!$B$3:$BX$113,MATCH(B610,Mortalidad_H!$A$3:$A$113,0),MATCH(MIN(C610,2100),Mortalidad_H!$B$2:$BX$2,0)),INDEX(Mortalidad_M!$B$3:$BX$93,MATCH(B610,Mortalidad_M!$A$3:$A$93,0),MATCH(MIN(C610,2100),Mortalidad_M!$B$2:$BX$2,0))),1)</f>
        <v/>
      </c>
      <c r="E610" s="15">
        <f>1-(1-D610)^(1/12)</f>
        <v/>
      </c>
      <c r="F610" s="16">
        <f>F609*(1-E609)</f>
        <v/>
      </c>
      <c r="G610" s="16">
        <f>1/(1+$C$7)^(A610/12)</f>
        <v/>
      </c>
      <c r="H610" s="16">
        <f>F610*G610</f>
        <v/>
      </c>
    </row>
    <row r="611">
      <c r="A611" s="14" t="n">
        <v>599</v>
      </c>
      <c r="B611">
        <f>$C$5+INT(A611/12)</f>
        <v/>
      </c>
      <c r="C611">
        <f>Parametros!$B$5+INT(A611/12)</f>
        <v/>
      </c>
      <c r="D611" s="15">
        <f>IFERROR(IF($C$4="H",INDEX(Mortalidad_H!$B$3:$BX$113,MATCH(B611,Mortalidad_H!$A$3:$A$113,0),MATCH(MIN(C611,2100),Mortalidad_H!$B$2:$BX$2,0)),INDEX(Mortalidad_M!$B$3:$BX$93,MATCH(B611,Mortalidad_M!$A$3:$A$93,0),MATCH(MIN(C611,2100),Mortalidad_M!$B$2:$BX$2,0))),1)</f>
        <v/>
      </c>
      <c r="E611" s="15">
        <f>1-(1-D611)^(1/12)</f>
        <v/>
      </c>
      <c r="F611" s="16">
        <f>F610*(1-E610)</f>
        <v/>
      </c>
      <c r="G611" s="16">
        <f>1/(1+$C$7)^(A611/12)</f>
        <v/>
      </c>
      <c r="H611" s="16">
        <f>F611*G611</f>
        <v/>
      </c>
    </row>
    <row r="612">
      <c r="A612" s="14" t="n">
        <v>600</v>
      </c>
      <c r="B612">
        <f>$C$5+INT(A612/12)</f>
        <v/>
      </c>
      <c r="C612">
        <f>Parametros!$B$5+INT(A612/12)</f>
        <v/>
      </c>
      <c r="D612" s="15">
        <f>IFERROR(IF($C$4="H",INDEX(Mortalidad_H!$B$3:$BX$113,MATCH(B612,Mortalidad_H!$A$3:$A$113,0),MATCH(MIN(C612,2100),Mortalidad_H!$B$2:$BX$2,0)),INDEX(Mortalidad_M!$B$3:$BX$93,MATCH(B612,Mortalidad_M!$A$3:$A$93,0),MATCH(MIN(C612,2100),Mortalidad_M!$B$2:$BX$2,0))),1)</f>
        <v/>
      </c>
      <c r="E612" s="15">
        <f>1-(1-D612)^(1/12)</f>
        <v/>
      </c>
      <c r="F612" s="16">
        <f>F611*(1-E611)</f>
        <v/>
      </c>
      <c r="G612" s="16">
        <f>1/(1+$C$7)^(A612/12)</f>
        <v/>
      </c>
      <c r="H612" s="16">
        <f>F612*G612</f>
        <v/>
      </c>
    </row>
    <row r="613">
      <c r="A613" s="14" t="n">
        <v>601</v>
      </c>
      <c r="B613">
        <f>$C$5+INT(A613/12)</f>
        <v/>
      </c>
      <c r="C613">
        <f>Parametros!$B$5+INT(A613/12)</f>
        <v/>
      </c>
      <c r="D613" s="15">
        <f>IFERROR(IF($C$4="H",INDEX(Mortalidad_H!$B$3:$BX$113,MATCH(B613,Mortalidad_H!$A$3:$A$113,0),MATCH(MIN(C613,2100),Mortalidad_H!$B$2:$BX$2,0)),INDEX(Mortalidad_M!$B$3:$BX$93,MATCH(B613,Mortalidad_M!$A$3:$A$93,0),MATCH(MIN(C613,2100),Mortalidad_M!$B$2:$BX$2,0))),1)</f>
        <v/>
      </c>
      <c r="E613" s="15">
        <f>1-(1-D613)^(1/12)</f>
        <v/>
      </c>
      <c r="F613" s="16">
        <f>F612*(1-E612)</f>
        <v/>
      </c>
      <c r="G613" s="16">
        <f>1/(1+$C$7)^(A613/12)</f>
        <v/>
      </c>
      <c r="H613" s="16">
        <f>F613*G613</f>
        <v/>
      </c>
    </row>
    <row r="614">
      <c r="A614" s="14" t="n">
        <v>602</v>
      </c>
      <c r="B614">
        <f>$C$5+INT(A614/12)</f>
        <v/>
      </c>
      <c r="C614">
        <f>Parametros!$B$5+INT(A614/12)</f>
        <v/>
      </c>
      <c r="D614" s="15">
        <f>IFERROR(IF($C$4="H",INDEX(Mortalidad_H!$B$3:$BX$113,MATCH(B614,Mortalidad_H!$A$3:$A$113,0),MATCH(MIN(C614,2100),Mortalidad_H!$B$2:$BX$2,0)),INDEX(Mortalidad_M!$B$3:$BX$93,MATCH(B614,Mortalidad_M!$A$3:$A$93,0),MATCH(MIN(C614,2100),Mortalidad_M!$B$2:$BX$2,0))),1)</f>
        <v/>
      </c>
      <c r="E614" s="15">
        <f>1-(1-D614)^(1/12)</f>
        <v/>
      </c>
      <c r="F614" s="16">
        <f>F613*(1-E613)</f>
        <v/>
      </c>
      <c r="G614" s="16">
        <f>1/(1+$C$7)^(A614/12)</f>
        <v/>
      </c>
      <c r="H614" s="16">
        <f>F614*G614</f>
        <v/>
      </c>
    </row>
    <row r="615">
      <c r="A615" s="14" t="n">
        <v>603</v>
      </c>
      <c r="B615">
        <f>$C$5+INT(A615/12)</f>
        <v/>
      </c>
      <c r="C615">
        <f>Parametros!$B$5+INT(A615/12)</f>
        <v/>
      </c>
      <c r="D615" s="15">
        <f>IFERROR(IF($C$4="H",INDEX(Mortalidad_H!$B$3:$BX$113,MATCH(B615,Mortalidad_H!$A$3:$A$113,0),MATCH(MIN(C615,2100),Mortalidad_H!$B$2:$BX$2,0)),INDEX(Mortalidad_M!$B$3:$BX$93,MATCH(B615,Mortalidad_M!$A$3:$A$93,0),MATCH(MIN(C615,2100),Mortalidad_M!$B$2:$BX$2,0))),1)</f>
        <v/>
      </c>
      <c r="E615" s="15">
        <f>1-(1-D615)^(1/12)</f>
        <v/>
      </c>
      <c r="F615" s="16">
        <f>F614*(1-E614)</f>
        <v/>
      </c>
      <c r="G615" s="16">
        <f>1/(1+$C$7)^(A615/12)</f>
        <v/>
      </c>
      <c r="H615" s="16">
        <f>F615*G615</f>
        <v/>
      </c>
    </row>
    <row r="616">
      <c r="A616" s="14" t="n">
        <v>604</v>
      </c>
      <c r="B616">
        <f>$C$5+INT(A616/12)</f>
        <v/>
      </c>
      <c r="C616">
        <f>Parametros!$B$5+INT(A616/12)</f>
        <v/>
      </c>
      <c r="D616" s="15">
        <f>IFERROR(IF($C$4="H",INDEX(Mortalidad_H!$B$3:$BX$113,MATCH(B616,Mortalidad_H!$A$3:$A$113,0),MATCH(MIN(C616,2100),Mortalidad_H!$B$2:$BX$2,0)),INDEX(Mortalidad_M!$B$3:$BX$93,MATCH(B616,Mortalidad_M!$A$3:$A$93,0),MATCH(MIN(C616,2100),Mortalidad_M!$B$2:$BX$2,0))),1)</f>
        <v/>
      </c>
      <c r="E616" s="15">
        <f>1-(1-D616)^(1/12)</f>
        <v/>
      </c>
      <c r="F616" s="16">
        <f>F615*(1-E615)</f>
        <v/>
      </c>
      <c r="G616" s="16">
        <f>1/(1+$C$7)^(A616/12)</f>
        <v/>
      </c>
      <c r="H616" s="16">
        <f>F616*G616</f>
        <v/>
      </c>
    </row>
    <row r="617">
      <c r="A617" s="14" t="n">
        <v>605</v>
      </c>
      <c r="B617">
        <f>$C$5+INT(A617/12)</f>
        <v/>
      </c>
      <c r="C617">
        <f>Parametros!$B$5+INT(A617/12)</f>
        <v/>
      </c>
      <c r="D617" s="15">
        <f>IFERROR(IF($C$4="H",INDEX(Mortalidad_H!$B$3:$BX$113,MATCH(B617,Mortalidad_H!$A$3:$A$113,0),MATCH(MIN(C617,2100),Mortalidad_H!$B$2:$BX$2,0)),INDEX(Mortalidad_M!$B$3:$BX$93,MATCH(B617,Mortalidad_M!$A$3:$A$93,0),MATCH(MIN(C617,2100),Mortalidad_M!$B$2:$BX$2,0))),1)</f>
        <v/>
      </c>
      <c r="E617" s="15">
        <f>1-(1-D617)^(1/12)</f>
        <v/>
      </c>
      <c r="F617" s="16">
        <f>F616*(1-E616)</f>
        <v/>
      </c>
      <c r="G617" s="16">
        <f>1/(1+$C$7)^(A617/12)</f>
        <v/>
      </c>
      <c r="H617" s="16">
        <f>F617*G617</f>
        <v/>
      </c>
    </row>
    <row r="618">
      <c r="A618" s="14" t="n">
        <v>606</v>
      </c>
      <c r="B618">
        <f>$C$5+INT(A618/12)</f>
        <v/>
      </c>
      <c r="C618">
        <f>Parametros!$B$5+INT(A618/12)</f>
        <v/>
      </c>
      <c r="D618" s="15">
        <f>IFERROR(IF($C$4="H",INDEX(Mortalidad_H!$B$3:$BX$113,MATCH(B618,Mortalidad_H!$A$3:$A$113,0),MATCH(MIN(C618,2100),Mortalidad_H!$B$2:$BX$2,0)),INDEX(Mortalidad_M!$B$3:$BX$93,MATCH(B618,Mortalidad_M!$A$3:$A$93,0),MATCH(MIN(C618,2100),Mortalidad_M!$B$2:$BX$2,0))),1)</f>
        <v/>
      </c>
      <c r="E618" s="15">
        <f>1-(1-D618)^(1/12)</f>
        <v/>
      </c>
      <c r="F618" s="16">
        <f>F617*(1-E617)</f>
        <v/>
      </c>
      <c r="G618" s="16">
        <f>1/(1+$C$7)^(A618/12)</f>
        <v/>
      </c>
      <c r="H618" s="16">
        <f>F618*G618</f>
        <v/>
      </c>
    </row>
    <row r="619">
      <c r="A619" s="14" t="n">
        <v>607</v>
      </c>
      <c r="B619">
        <f>$C$5+INT(A619/12)</f>
        <v/>
      </c>
      <c r="C619">
        <f>Parametros!$B$5+INT(A619/12)</f>
        <v/>
      </c>
      <c r="D619" s="15">
        <f>IFERROR(IF($C$4="H",INDEX(Mortalidad_H!$B$3:$BX$113,MATCH(B619,Mortalidad_H!$A$3:$A$113,0),MATCH(MIN(C619,2100),Mortalidad_H!$B$2:$BX$2,0)),INDEX(Mortalidad_M!$B$3:$BX$93,MATCH(B619,Mortalidad_M!$A$3:$A$93,0),MATCH(MIN(C619,2100),Mortalidad_M!$B$2:$BX$2,0))),1)</f>
        <v/>
      </c>
      <c r="E619" s="15">
        <f>1-(1-D619)^(1/12)</f>
        <v/>
      </c>
      <c r="F619" s="16">
        <f>F618*(1-E618)</f>
        <v/>
      </c>
      <c r="G619" s="16">
        <f>1/(1+$C$7)^(A619/12)</f>
        <v/>
      </c>
      <c r="H619" s="16">
        <f>F619*G619</f>
        <v/>
      </c>
    </row>
    <row r="620">
      <c r="A620" s="14" t="n">
        <v>608</v>
      </c>
      <c r="B620">
        <f>$C$5+INT(A620/12)</f>
        <v/>
      </c>
      <c r="C620">
        <f>Parametros!$B$5+INT(A620/12)</f>
        <v/>
      </c>
      <c r="D620" s="15">
        <f>IFERROR(IF($C$4="H",INDEX(Mortalidad_H!$B$3:$BX$113,MATCH(B620,Mortalidad_H!$A$3:$A$113,0),MATCH(MIN(C620,2100),Mortalidad_H!$B$2:$BX$2,0)),INDEX(Mortalidad_M!$B$3:$BX$93,MATCH(B620,Mortalidad_M!$A$3:$A$93,0),MATCH(MIN(C620,2100),Mortalidad_M!$B$2:$BX$2,0))),1)</f>
        <v/>
      </c>
      <c r="E620" s="15">
        <f>1-(1-D620)^(1/12)</f>
        <v/>
      </c>
      <c r="F620" s="16">
        <f>F619*(1-E619)</f>
        <v/>
      </c>
      <c r="G620" s="16">
        <f>1/(1+$C$7)^(A620/12)</f>
        <v/>
      </c>
      <c r="H620" s="16">
        <f>F620*G620</f>
        <v/>
      </c>
    </row>
    <row r="621">
      <c r="A621" s="14" t="n">
        <v>609</v>
      </c>
      <c r="B621">
        <f>$C$5+INT(A621/12)</f>
        <v/>
      </c>
      <c r="C621">
        <f>Parametros!$B$5+INT(A621/12)</f>
        <v/>
      </c>
      <c r="D621" s="15">
        <f>IFERROR(IF($C$4="H",INDEX(Mortalidad_H!$B$3:$BX$113,MATCH(B621,Mortalidad_H!$A$3:$A$113,0),MATCH(MIN(C621,2100),Mortalidad_H!$B$2:$BX$2,0)),INDEX(Mortalidad_M!$B$3:$BX$93,MATCH(B621,Mortalidad_M!$A$3:$A$93,0),MATCH(MIN(C621,2100),Mortalidad_M!$B$2:$BX$2,0))),1)</f>
        <v/>
      </c>
      <c r="E621" s="15">
        <f>1-(1-D621)^(1/12)</f>
        <v/>
      </c>
      <c r="F621" s="16">
        <f>F620*(1-E620)</f>
        <v/>
      </c>
      <c r="G621" s="16">
        <f>1/(1+$C$7)^(A621/12)</f>
        <v/>
      </c>
      <c r="H621" s="16">
        <f>F621*G621</f>
        <v/>
      </c>
    </row>
    <row r="622">
      <c r="A622" s="14" t="n">
        <v>610</v>
      </c>
      <c r="B622">
        <f>$C$5+INT(A622/12)</f>
        <v/>
      </c>
      <c r="C622">
        <f>Parametros!$B$5+INT(A622/12)</f>
        <v/>
      </c>
      <c r="D622" s="15">
        <f>IFERROR(IF($C$4="H",INDEX(Mortalidad_H!$B$3:$BX$113,MATCH(B622,Mortalidad_H!$A$3:$A$113,0),MATCH(MIN(C622,2100),Mortalidad_H!$B$2:$BX$2,0)),INDEX(Mortalidad_M!$B$3:$BX$93,MATCH(B622,Mortalidad_M!$A$3:$A$93,0),MATCH(MIN(C622,2100),Mortalidad_M!$B$2:$BX$2,0))),1)</f>
        <v/>
      </c>
      <c r="E622" s="15">
        <f>1-(1-D622)^(1/12)</f>
        <v/>
      </c>
      <c r="F622" s="16">
        <f>F621*(1-E621)</f>
        <v/>
      </c>
      <c r="G622" s="16">
        <f>1/(1+$C$7)^(A622/12)</f>
        <v/>
      </c>
      <c r="H622" s="16">
        <f>F622*G622</f>
        <v/>
      </c>
    </row>
    <row r="623">
      <c r="A623" s="14" t="n">
        <v>611</v>
      </c>
      <c r="B623">
        <f>$C$5+INT(A623/12)</f>
        <v/>
      </c>
      <c r="C623">
        <f>Parametros!$B$5+INT(A623/12)</f>
        <v/>
      </c>
      <c r="D623" s="15">
        <f>IFERROR(IF($C$4="H",INDEX(Mortalidad_H!$B$3:$BX$113,MATCH(B623,Mortalidad_H!$A$3:$A$113,0),MATCH(MIN(C623,2100),Mortalidad_H!$B$2:$BX$2,0)),INDEX(Mortalidad_M!$B$3:$BX$93,MATCH(B623,Mortalidad_M!$A$3:$A$93,0),MATCH(MIN(C623,2100),Mortalidad_M!$B$2:$BX$2,0))),1)</f>
        <v/>
      </c>
      <c r="E623" s="15">
        <f>1-(1-D623)^(1/12)</f>
        <v/>
      </c>
      <c r="F623" s="16">
        <f>F622*(1-E622)</f>
        <v/>
      </c>
      <c r="G623" s="16">
        <f>1/(1+$C$7)^(A623/12)</f>
        <v/>
      </c>
      <c r="H623" s="16">
        <f>F623*G623</f>
        <v/>
      </c>
    </row>
    <row r="624">
      <c r="A624" s="14" t="n">
        <v>612</v>
      </c>
      <c r="B624">
        <f>$C$5+INT(A624/12)</f>
        <v/>
      </c>
      <c r="C624">
        <f>Parametros!$B$5+INT(A624/12)</f>
        <v/>
      </c>
      <c r="D624" s="15">
        <f>IFERROR(IF($C$4="H",INDEX(Mortalidad_H!$B$3:$BX$113,MATCH(B624,Mortalidad_H!$A$3:$A$113,0),MATCH(MIN(C624,2100),Mortalidad_H!$B$2:$BX$2,0)),INDEX(Mortalidad_M!$B$3:$BX$93,MATCH(B624,Mortalidad_M!$A$3:$A$93,0),MATCH(MIN(C624,2100),Mortalidad_M!$B$2:$BX$2,0))),1)</f>
        <v/>
      </c>
      <c r="E624" s="15">
        <f>1-(1-D624)^(1/12)</f>
        <v/>
      </c>
      <c r="F624" s="16">
        <f>F623*(1-E623)</f>
        <v/>
      </c>
      <c r="G624" s="16">
        <f>1/(1+$C$7)^(A624/12)</f>
        <v/>
      </c>
      <c r="H624" s="16">
        <f>F624*G624</f>
        <v/>
      </c>
    </row>
    <row r="625">
      <c r="A625" s="14" t="n">
        <v>613</v>
      </c>
      <c r="B625">
        <f>$C$5+INT(A625/12)</f>
        <v/>
      </c>
      <c r="C625">
        <f>Parametros!$B$5+INT(A625/12)</f>
        <v/>
      </c>
      <c r="D625" s="15">
        <f>IFERROR(IF($C$4="H",INDEX(Mortalidad_H!$B$3:$BX$113,MATCH(B625,Mortalidad_H!$A$3:$A$113,0),MATCH(MIN(C625,2100),Mortalidad_H!$B$2:$BX$2,0)),INDEX(Mortalidad_M!$B$3:$BX$93,MATCH(B625,Mortalidad_M!$A$3:$A$93,0),MATCH(MIN(C625,2100),Mortalidad_M!$B$2:$BX$2,0))),1)</f>
        <v/>
      </c>
      <c r="E625" s="15">
        <f>1-(1-D625)^(1/12)</f>
        <v/>
      </c>
      <c r="F625" s="16">
        <f>F624*(1-E624)</f>
        <v/>
      </c>
      <c r="G625" s="16">
        <f>1/(1+$C$7)^(A625/12)</f>
        <v/>
      </c>
      <c r="H625" s="16">
        <f>F625*G625</f>
        <v/>
      </c>
    </row>
    <row r="626">
      <c r="A626" s="14" t="n">
        <v>614</v>
      </c>
      <c r="B626">
        <f>$C$5+INT(A626/12)</f>
        <v/>
      </c>
      <c r="C626">
        <f>Parametros!$B$5+INT(A626/12)</f>
        <v/>
      </c>
      <c r="D626" s="15">
        <f>IFERROR(IF($C$4="H",INDEX(Mortalidad_H!$B$3:$BX$113,MATCH(B626,Mortalidad_H!$A$3:$A$113,0),MATCH(MIN(C626,2100),Mortalidad_H!$B$2:$BX$2,0)),INDEX(Mortalidad_M!$B$3:$BX$93,MATCH(B626,Mortalidad_M!$A$3:$A$93,0),MATCH(MIN(C626,2100),Mortalidad_M!$B$2:$BX$2,0))),1)</f>
        <v/>
      </c>
      <c r="E626" s="15">
        <f>1-(1-D626)^(1/12)</f>
        <v/>
      </c>
      <c r="F626" s="16">
        <f>F625*(1-E625)</f>
        <v/>
      </c>
      <c r="G626" s="16">
        <f>1/(1+$C$7)^(A626/12)</f>
        <v/>
      </c>
      <c r="H626" s="16">
        <f>F626*G626</f>
        <v/>
      </c>
    </row>
    <row r="627">
      <c r="A627" s="14" t="n">
        <v>615</v>
      </c>
      <c r="B627">
        <f>$C$5+INT(A627/12)</f>
        <v/>
      </c>
      <c r="C627">
        <f>Parametros!$B$5+INT(A627/12)</f>
        <v/>
      </c>
      <c r="D627" s="15">
        <f>IFERROR(IF($C$4="H",INDEX(Mortalidad_H!$B$3:$BX$113,MATCH(B627,Mortalidad_H!$A$3:$A$113,0),MATCH(MIN(C627,2100),Mortalidad_H!$B$2:$BX$2,0)),INDEX(Mortalidad_M!$B$3:$BX$93,MATCH(B627,Mortalidad_M!$A$3:$A$93,0),MATCH(MIN(C627,2100),Mortalidad_M!$B$2:$BX$2,0))),1)</f>
        <v/>
      </c>
      <c r="E627" s="15">
        <f>1-(1-D627)^(1/12)</f>
        <v/>
      </c>
      <c r="F627" s="16">
        <f>F626*(1-E626)</f>
        <v/>
      </c>
      <c r="G627" s="16">
        <f>1/(1+$C$7)^(A627/12)</f>
        <v/>
      </c>
      <c r="H627" s="16">
        <f>F627*G627</f>
        <v/>
      </c>
    </row>
    <row r="628">
      <c r="A628" s="14" t="n">
        <v>616</v>
      </c>
      <c r="B628">
        <f>$C$5+INT(A628/12)</f>
        <v/>
      </c>
      <c r="C628">
        <f>Parametros!$B$5+INT(A628/12)</f>
        <v/>
      </c>
      <c r="D628" s="15">
        <f>IFERROR(IF($C$4="H",INDEX(Mortalidad_H!$B$3:$BX$113,MATCH(B628,Mortalidad_H!$A$3:$A$113,0),MATCH(MIN(C628,2100),Mortalidad_H!$B$2:$BX$2,0)),INDEX(Mortalidad_M!$B$3:$BX$93,MATCH(B628,Mortalidad_M!$A$3:$A$93,0),MATCH(MIN(C628,2100),Mortalidad_M!$B$2:$BX$2,0))),1)</f>
        <v/>
      </c>
      <c r="E628" s="15">
        <f>1-(1-D628)^(1/12)</f>
        <v/>
      </c>
      <c r="F628" s="16">
        <f>F627*(1-E627)</f>
        <v/>
      </c>
      <c r="G628" s="16">
        <f>1/(1+$C$7)^(A628/12)</f>
        <v/>
      </c>
      <c r="H628" s="16">
        <f>F628*G628</f>
        <v/>
      </c>
    </row>
    <row r="629">
      <c r="A629" s="14" t="n">
        <v>617</v>
      </c>
      <c r="B629">
        <f>$C$5+INT(A629/12)</f>
        <v/>
      </c>
      <c r="C629">
        <f>Parametros!$B$5+INT(A629/12)</f>
        <v/>
      </c>
      <c r="D629" s="15">
        <f>IFERROR(IF($C$4="H",INDEX(Mortalidad_H!$B$3:$BX$113,MATCH(B629,Mortalidad_H!$A$3:$A$113,0),MATCH(MIN(C629,2100),Mortalidad_H!$B$2:$BX$2,0)),INDEX(Mortalidad_M!$B$3:$BX$93,MATCH(B629,Mortalidad_M!$A$3:$A$93,0),MATCH(MIN(C629,2100),Mortalidad_M!$B$2:$BX$2,0))),1)</f>
        <v/>
      </c>
      <c r="E629" s="15">
        <f>1-(1-D629)^(1/12)</f>
        <v/>
      </c>
      <c r="F629" s="16">
        <f>F628*(1-E628)</f>
        <v/>
      </c>
      <c r="G629" s="16">
        <f>1/(1+$C$7)^(A629/12)</f>
        <v/>
      </c>
      <c r="H629" s="16">
        <f>F629*G629</f>
        <v/>
      </c>
    </row>
    <row r="630">
      <c r="A630" s="14" t="n">
        <v>618</v>
      </c>
      <c r="B630">
        <f>$C$5+INT(A630/12)</f>
        <v/>
      </c>
      <c r="C630">
        <f>Parametros!$B$5+INT(A630/12)</f>
        <v/>
      </c>
      <c r="D630" s="15">
        <f>IFERROR(IF($C$4="H",INDEX(Mortalidad_H!$B$3:$BX$113,MATCH(B630,Mortalidad_H!$A$3:$A$113,0),MATCH(MIN(C630,2100),Mortalidad_H!$B$2:$BX$2,0)),INDEX(Mortalidad_M!$B$3:$BX$93,MATCH(B630,Mortalidad_M!$A$3:$A$93,0),MATCH(MIN(C630,2100),Mortalidad_M!$B$2:$BX$2,0))),1)</f>
        <v/>
      </c>
      <c r="E630" s="15">
        <f>1-(1-D630)^(1/12)</f>
        <v/>
      </c>
      <c r="F630" s="16">
        <f>F629*(1-E629)</f>
        <v/>
      </c>
      <c r="G630" s="16">
        <f>1/(1+$C$7)^(A630/12)</f>
        <v/>
      </c>
      <c r="H630" s="16">
        <f>F630*G630</f>
        <v/>
      </c>
    </row>
    <row r="631">
      <c r="A631" s="14" t="n">
        <v>619</v>
      </c>
      <c r="B631">
        <f>$C$5+INT(A631/12)</f>
        <v/>
      </c>
      <c r="C631">
        <f>Parametros!$B$5+INT(A631/12)</f>
        <v/>
      </c>
      <c r="D631" s="15">
        <f>IFERROR(IF($C$4="H",INDEX(Mortalidad_H!$B$3:$BX$113,MATCH(B631,Mortalidad_H!$A$3:$A$113,0),MATCH(MIN(C631,2100),Mortalidad_H!$B$2:$BX$2,0)),INDEX(Mortalidad_M!$B$3:$BX$93,MATCH(B631,Mortalidad_M!$A$3:$A$93,0),MATCH(MIN(C631,2100),Mortalidad_M!$B$2:$BX$2,0))),1)</f>
        <v/>
      </c>
      <c r="E631" s="15">
        <f>1-(1-D631)^(1/12)</f>
        <v/>
      </c>
      <c r="F631" s="16">
        <f>F630*(1-E630)</f>
        <v/>
      </c>
      <c r="G631" s="16">
        <f>1/(1+$C$7)^(A631/12)</f>
        <v/>
      </c>
      <c r="H631" s="16">
        <f>F631*G631</f>
        <v/>
      </c>
    </row>
    <row r="632">
      <c r="A632" s="14" t="n">
        <v>620</v>
      </c>
      <c r="B632">
        <f>$C$5+INT(A632/12)</f>
        <v/>
      </c>
      <c r="C632">
        <f>Parametros!$B$5+INT(A632/12)</f>
        <v/>
      </c>
      <c r="D632" s="15">
        <f>IFERROR(IF($C$4="H",INDEX(Mortalidad_H!$B$3:$BX$113,MATCH(B632,Mortalidad_H!$A$3:$A$113,0),MATCH(MIN(C632,2100),Mortalidad_H!$B$2:$BX$2,0)),INDEX(Mortalidad_M!$B$3:$BX$93,MATCH(B632,Mortalidad_M!$A$3:$A$93,0),MATCH(MIN(C632,2100),Mortalidad_M!$B$2:$BX$2,0))),1)</f>
        <v/>
      </c>
      <c r="E632" s="15">
        <f>1-(1-D632)^(1/12)</f>
        <v/>
      </c>
      <c r="F632" s="16">
        <f>F631*(1-E631)</f>
        <v/>
      </c>
      <c r="G632" s="16">
        <f>1/(1+$C$7)^(A632/12)</f>
        <v/>
      </c>
      <c r="H632" s="16">
        <f>F632*G632</f>
        <v/>
      </c>
    </row>
    <row r="633">
      <c r="A633" s="14" t="n">
        <v>621</v>
      </c>
      <c r="B633">
        <f>$C$5+INT(A633/12)</f>
        <v/>
      </c>
      <c r="C633">
        <f>Parametros!$B$5+INT(A633/12)</f>
        <v/>
      </c>
      <c r="D633" s="15">
        <f>IFERROR(IF($C$4="H",INDEX(Mortalidad_H!$B$3:$BX$113,MATCH(B633,Mortalidad_H!$A$3:$A$113,0),MATCH(MIN(C633,2100),Mortalidad_H!$B$2:$BX$2,0)),INDEX(Mortalidad_M!$B$3:$BX$93,MATCH(B633,Mortalidad_M!$A$3:$A$93,0),MATCH(MIN(C633,2100),Mortalidad_M!$B$2:$BX$2,0))),1)</f>
        <v/>
      </c>
      <c r="E633" s="15">
        <f>1-(1-D633)^(1/12)</f>
        <v/>
      </c>
      <c r="F633" s="16">
        <f>F632*(1-E632)</f>
        <v/>
      </c>
      <c r="G633" s="16">
        <f>1/(1+$C$7)^(A633/12)</f>
        <v/>
      </c>
      <c r="H633" s="16">
        <f>F633*G633</f>
        <v/>
      </c>
    </row>
    <row r="634">
      <c r="A634" s="14" t="n">
        <v>622</v>
      </c>
      <c r="B634">
        <f>$C$5+INT(A634/12)</f>
        <v/>
      </c>
      <c r="C634">
        <f>Parametros!$B$5+INT(A634/12)</f>
        <v/>
      </c>
      <c r="D634" s="15">
        <f>IFERROR(IF($C$4="H",INDEX(Mortalidad_H!$B$3:$BX$113,MATCH(B634,Mortalidad_H!$A$3:$A$113,0),MATCH(MIN(C634,2100),Mortalidad_H!$B$2:$BX$2,0)),INDEX(Mortalidad_M!$B$3:$BX$93,MATCH(B634,Mortalidad_M!$A$3:$A$93,0),MATCH(MIN(C634,2100),Mortalidad_M!$B$2:$BX$2,0))),1)</f>
        <v/>
      </c>
      <c r="E634" s="15">
        <f>1-(1-D634)^(1/12)</f>
        <v/>
      </c>
      <c r="F634" s="16">
        <f>F633*(1-E633)</f>
        <v/>
      </c>
      <c r="G634" s="16">
        <f>1/(1+$C$7)^(A634/12)</f>
        <v/>
      </c>
      <c r="H634" s="16">
        <f>F634*G634</f>
        <v/>
      </c>
    </row>
    <row r="635">
      <c r="A635" s="14" t="n">
        <v>623</v>
      </c>
      <c r="B635">
        <f>$C$5+INT(A635/12)</f>
        <v/>
      </c>
      <c r="C635">
        <f>Parametros!$B$5+INT(A635/12)</f>
        <v/>
      </c>
      <c r="D635" s="15">
        <f>IFERROR(IF($C$4="H",INDEX(Mortalidad_H!$B$3:$BX$113,MATCH(B635,Mortalidad_H!$A$3:$A$113,0),MATCH(MIN(C635,2100),Mortalidad_H!$B$2:$BX$2,0)),INDEX(Mortalidad_M!$B$3:$BX$93,MATCH(B635,Mortalidad_M!$A$3:$A$93,0),MATCH(MIN(C635,2100),Mortalidad_M!$B$2:$BX$2,0))),1)</f>
        <v/>
      </c>
      <c r="E635" s="15">
        <f>1-(1-D635)^(1/12)</f>
        <v/>
      </c>
      <c r="F635" s="16">
        <f>F634*(1-E634)</f>
        <v/>
      </c>
      <c r="G635" s="16">
        <f>1/(1+$C$7)^(A635/12)</f>
        <v/>
      </c>
      <c r="H635" s="16">
        <f>F635*G635</f>
        <v/>
      </c>
    </row>
    <row r="636">
      <c r="A636" s="14" t="n">
        <v>624</v>
      </c>
      <c r="B636">
        <f>$C$5+INT(A636/12)</f>
        <v/>
      </c>
      <c r="C636">
        <f>Parametros!$B$5+INT(A636/12)</f>
        <v/>
      </c>
      <c r="D636" s="15">
        <f>IFERROR(IF($C$4="H",INDEX(Mortalidad_H!$B$3:$BX$113,MATCH(B636,Mortalidad_H!$A$3:$A$113,0),MATCH(MIN(C636,2100),Mortalidad_H!$B$2:$BX$2,0)),INDEX(Mortalidad_M!$B$3:$BX$93,MATCH(B636,Mortalidad_M!$A$3:$A$93,0),MATCH(MIN(C636,2100),Mortalidad_M!$B$2:$BX$2,0))),1)</f>
        <v/>
      </c>
      <c r="E636" s="15">
        <f>1-(1-D636)^(1/12)</f>
        <v/>
      </c>
      <c r="F636" s="16">
        <f>F635*(1-E635)</f>
        <v/>
      </c>
      <c r="G636" s="16">
        <f>1/(1+$C$7)^(A636/12)</f>
        <v/>
      </c>
      <c r="H636" s="16">
        <f>F636*G636</f>
        <v/>
      </c>
    </row>
    <row r="637">
      <c r="A637" s="14" t="n">
        <v>625</v>
      </c>
      <c r="B637">
        <f>$C$5+INT(A637/12)</f>
        <v/>
      </c>
      <c r="C637">
        <f>Parametros!$B$5+INT(A637/12)</f>
        <v/>
      </c>
      <c r="D637" s="15">
        <f>IFERROR(IF($C$4="H",INDEX(Mortalidad_H!$B$3:$BX$113,MATCH(B637,Mortalidad_H!$A$3:$A$113,0),MATCH(MIN(C637,2100),Mortalidad_H!$B$2:$BX$2,0)),INDEX(Mortalidad_M!$B$3:$BX$93,MATCH(B637,Mortalidad_M!$A$3:$A$93,0),MATCH(MIN(C637,2100),Mortalidad_M!$B$2:$BX$2,0))),1)</f>
        <v/>
      </c>
      <c r="E637" s="15">
        <f>1-(1-D637)^(1/12)</f>
        <v/>
      </c>
      <c r="F637" s="16">
        <f>F636*(1-E636)</f>
        <v/>
      </c>
      <c r="G637" s="16">
        <f>1/(1+$C$7)^(A637/12)</f>
        <v/>
      </c>
      <c r="H637" s="16">
        <f>F637*G637</f>
        <v/>
      </c>
    </row>
    <row r="638">
      <c r="A638" s="14" t="n">
        <v>626</v>
      </c>
      <c r="B638">
        <f>$C$5+INT(A638/12)</f>
        <v/>
      </c>
      <c r="C638">
        <f>Parametros!$B$5+INT(A638/12)</f>
        <v/>
      </c>
      <c r="D638" s="15">
        <f>IFERROR(IF($C$4="H",INDEX(Mortalidad_H!$B$3:$BX$113,MATCH(B638,Mortalidad_H!$A$3:$A$113,0),MATCH(MIN(C638,2100),Mortalidad_H!$B$2:$BX$2,0)),INDEX(Mortalidad_M!$B$3:$BX$93,MATCH(B638,Mortalidad_M!$A$3:$A$93,0),MATCH(MIN(C638,2100),Mortalidad_M!$B$2:$BX$2,0))),1)</f>
        <v/>
      </c>
      <c r="E638" s="15">
        <f>1-(1-D638)^(1/12)</f>
        <v/>
      </c>
      <c r="F638" s="16">
        <f>F637*(1-E637)</f>
        <v/>
      </c>
      <c r="G638" s="16">
        <f>1/(1+$C$7)^(A638/12)</f>
        <v/>
      </c>
      <c r="H638" s="16">
        <f>F638*G638</f>
        <v/>
      </c>
    </row>
    <row r="639">
      <c r="A639" s="14" t="n">
        <v>627</v>
      </c>
      <c r="B639">
        <f>$C$5+INT(A639/12)</f>
        <v/>
      </c>
      <c r="C639">
        <f>Parametros!$B$5+INT(A639/12)</f>
        <v/>
      </c>
      <c r="D639" s="15">
        <f>IFERROR(IF($C$4="H",INDEX(Mortalidad_H!$B$3:$BX$113,MATCH(B639,Mortalidad_H!$A$3:$A$113,0),MATCH(MIN(C639,2100),Mortalidad_H!$B$2:$BX$2,0)),INDEX(Mortalidad_M!$B$3:$BX$93,MATCH(B639,Mortalidad_M!$A$3:$A$93,0),MATCH(MIN(C639,2100),Mortalidad_M!$B$2:$BX$2,0))),1)</f>
        <v/>
      </c>
      <c r="E639" s="15">
        <f>1-(1-D639)^(1/12)</f>
        <v/>
      </c>
      <c r="F639" s="16">
        <f>F638*(1-E638)</f>
        <v/>
      </c>
      <c r="G639" s="16">
        <f>1/(1+$C$7)^(A639/12)</f>
        <v/>
      </c>
      <c r="H639" s="16">
        <f>F639*G639</f>
        <v/>
      </c>
    </row>
    <row r="640">
      <c r="A640" s="14" t="n">
        <v>628</v>
      </c>
      <c r="B640">
        <f>$C$5+INT(A640/12)</f>
        <v/>
      </c>
      <c r="C640">
        <f>Parametros!$B$5+INT(A640/12)</f>
        <v/>
      </c>
      <c r="D640" s="15">
        <f>IFERROR(IF($C$4="H",INDEX(Mortalidad_H!$B$3:$BX$113,MATCH(B640,Mortalidad_H!$A$3:$A$113,0),MATCH(MIN(C640,2100),Mortalidad_H!$B$2:$BX$2,0)),INDEX(Mortalidad_M!$B$3:$BX$93,MATCH(B640,Mortalidad_M!$A$3:$A$93,0),MATCH(MIN(C640,2100),Mortalidad_M!$B$2:$BX$2,0))),1)</f>
        <v/>
      </c>
      <c r="E640" s="15">
        <f>1-(1-D640)^(1/12)</f>
        <v/>
      </c>
      <c r="F640" s="16">
        <f>F639*(1-E639)</f>
        <v/>
      </c>
      <c r="G640" s="16">
        <f>1/(1+$C$7)^(A640/12)</f>
        <v/>
      </c>
      <c r="H640" s="16">
        <f>F640*G640</f>
        <v/>
      </c>
    </row>
    <row r="641">
      <c r="A641" s="14" t="n">
        <v>629</v>
      </c>
      <c r="B641">
        <f>$C$5+INT(A641/12)</f>
        <v/>
      </c>
      <c r="C641">
        <f>Parametros!$B$5+INT(A641/12)</f>
        <v/>
      </c>
      <c r="D641" s="15">
        <f>IFERROR(IF($C$4="H",INDEX(Mortalidad_H!$B$3:$BX$113,MATCH(B641,Mortalidad_H!$A$3:$A$113,0),MATCH(MIN(C641,2100),Mortalidad_H!$B$2:$BX$2,0)),INDEX(Mortalidad_M!$B$3:$BX$93,MATCH(B641,Mortalidad_M!$A$3:$A$93,0),MATCH(MIN(C641,2100),Mortalidad_M!$B$2:$BX$2,0))),1)</f>
        <v/>
      </c>
      <c r="E641" s="15">
        <f>1-(1-D641)^(1/12)</f>
        <v/>
      </c>
      <c r="F641" s="16">
        <f>F640*(1-E640)</f>
        <v/>
      </c>
      <c r="G641" s="16">
        <f>1/(1+$C$7)^(A641/12)</f>
        <v/>
      </c>
      <c r="H641" s="16">
        <f>F641*G641</f>
        <v/>
      </c>
    </row>
    <row r="642">
      <c r="A642" s="14" t="n">
        <v>630</v>
      </c>
      <c r="B642">
        <f>$C$5+INT(A642/12)</f>
        <v/>
      </c>
      <c r="C642">
        <f>Parametros!$B$5+INT(A642/12)</f>
        <v/>
      </c>
      <c r="D642" s="15">
        <f>IFERROR(IF($C$4="H",INDEX(Mortalidad_H!$B$3:$BX$113,MATCH(B642,Mortalidad_H!$A$3:$A$113,0),MATCH(MIN(C642,2100),Mortalidad_H!$B$2:$BX$2,0)),INDEX(Mortalidad_M!$B$3:$BX$93,MATCH(B642,Mortalidad_M!$A$3:$A$93,0),MATCH(MIN(C642,2100),Mortalidad_M!$B$2:$BX$2,0))),1)</f>
        <v/>
      </c>
      <c r="E642" s="15">
        <f>1-(1-D642)^(1/12)</f>
        <v/>
      </c>
      <c r="F642" s="16">
        <f>F641*(1-E641)</f>
        <v/>
      </c>
      <c r="G642" s="16">
        <f>1/(1+$C$7)^(A642/12)</f>
        <v/>
      </c>
      <c r="H642" s="16">
        <f>F642*G642</f>
        <v/>
      </c>
    </row>
    <row r="643">
      <c r="A643" s="14" t="n">
        <v>631</v>
      </c>
      <c r="B643">
        <f>$C$5+INT(A643/12)</f>
        <v/>
      </c>
      <c r="C643">
        <f>Parametros!$B$5+INT(A643/12)</f>
        <v/>
      </c>
      <c r="D643" s="15">
        <f>IFERROR(IF($C$4="H",INDEX(Mortalidad_H!$B$3:$BX$113,MATCH(B643,Mortalidad_H!$A$3:$A$113,0),MATCH(MIN(C643,2100),Mortalidad_H!$B$2:$BX$2,0)),INDEX(Mortalidad_M!$B$3:$BX$93,MATCH(B643,Mortalidad_M!$A$3:$A$93,0),MATCH(MIN(C643,2100),Mortalidad_M!$B$2:$BX$2,0))),1)</f>
        <v/>
      </c>
      <c r="E643" s="15">
        <f>1-(1-D643)^(1/12)</f>
        <v/>
      </c>
      <c r="F643" s="16">
        <f>F642*(1-E642)</f>
        <v/>
      </c>
      <c r="G643" s="16">
        <f>1/(1+$C$7)^(A643/12)</f>
        <v/>
      </c>
      <c r="H643" s="16">
        <f>F643*G643</f>
        <v/>
      </c>
    </row>
    <row r="644">
      <c r="A644" s="14" t="n">
        <v>632</v>
      </c>
      <c r="B644">
        <f>$C$5+INT(A644/12)</f>
        <v/>
      </c>
      <c r="C644">
        <f>Parametros!$B$5+INT(A644/12)</f>
        <v/>
      </c>
      <c r="D644" s="15">
        <f>IFERROR(IF($C$4="H",INDEX(Mortalidad_H!$B$3:$BX$113,MATCH(B644,Mortalidad_H!$A$3:$A$113,0),MATCH(MIN(C644,2100),Mortalidad_H!$B$2:$BX$2,0)),INDEX(Mortalidad_M!$B$3:$BX$93,MATCH(B644,Mortalidad_M!$A$3:$A$93,0),MATCH(MIN(C644,2100),Mortalidad_M!$B$2:$BX$2,0))),1)</f>
        <v/>
      </c>
      <c r="E644" s="15">
        <f>1-(1-D644)^(1/12)</f>
        <v/>
      </c>
      <c r="F644" s="16">
        <f>F643*(1-E643)</f>
        <v/>
      </c>
      <c r="G644" s="16">
        <f>1/(1+$C$7)^(A644/12)</f>
        <v/>
      </c>
      <c r="H644" s="16">
        <f>F644*G644</f>
        <v/>
      </c>
    </row>
    <row r="645">
      <c r="A645" s="14" t="n">
        <v>633</v>
      </c>
      <c r="B645">
        <f>$C$5+INT(A645/12)</f>
        <v/>
      </c>
      <c r="C645">
        <f>Parametros!$B$5+INT(A645/12)</f>
        <v/>
      </c>
      <c r="D645" s="15">
        <f>IFERROR(IF($C$4="H",INDEX(Mortalidad_H!$B$3:$BX$113,MATCH(B645,Mortalidad_H!$A$3:$A$113,0),MATCH(MIN(C645,2100),Mortalidad_H!$B$2:$BX$2,0)),INDEX(Mortalidad_M!$B$3:$BX$93,MATCH(B645,Mortalidad_M!$A$3:$A$93,0),MATCH(MIN(C645,2100),Mortalidad_M!$B$2:$BX$2,0))),1)</f>
        <v/>
      </c>
      <c r="E645" s="15">
        <f>1-(1-D645)^(1/12)</f>
        <v/>
      </c>
      <c r="F645" s="16">
        <f>F644*(1-E644)</f>
        <v/>
      </c>
      <c r="G645" s="16">
        <f>1/(1+$C$7)^(A645/12)</f>
        <v/>
      </c>
      <c r="H645" s="16">
        <f>F645*G645</f>
        <v/>
      </c>
    </row>
    <row r="646">
      <c r="A646" s="14" t="n">
        <v>634</v>
      </c>
      <c r="B646">
        <f>$C$5+INT(A646/12)</f>
        <v/>
      </c>
      <c r="C646">
        <f>Parametros!$B$5+INT(A646/12)</f>
        <v/>
      </c>
      <c r="D646" s="15">
        <f>IFERROR(IF($C$4="H",INDEX(Mortalidad_H!$B$3:$BX$113,MATCH(B646,Mortalidad_H!$A$3:$A$113,0),MATCH(MIN(C646,2100),Mortalidad_H!$B$2:$BX$2,0)),INDEX(Mortalidad_M!$B$3:$BX$93,MATCH(B646,Mortalidad_M!$A$3:$A$93,0),MATCH(MIN(C646,2100),Mortalidad_M!$B$2:$BX$2,0))),1)</f>
        <v/>
      </c>
      <c r="E646" s="15">
        <f>1-(1-D646)^(1/12)</f>
        <v/>
      </c>
      <c r="F646" s="16">
        <f>F645*(1-E645)</f>
        <v/>
      </c>
      <c r="G646" s="16">
        <f>1/(1+$C$7)^(A646/12)</f>
        <v/>
      </c>
      <c r="H646" s="16">
        <f>F646*G646</f>
        <v/>
      </c>
    </row>
    <row r="647">
      <c r="A647" s="14" t="n">
        <v>635</v>
      </c>
      <c r="B647">
        <f>$C$5+INT(A647/12)</f>
        <v/>
      </c>
      <c r="C647">
        <f>Parametros!$B$5+INT(A647/12)</f>
        <v/>
      </c>
      <c r="D647" s="15">
        <f>IFERROR(IF($C$4="H",INDEX(Mortalidad_H!$B$3:$BX$113,MATCH(B647,Mortalidad_H!$A$3:$A$113,0),MATCH(MIN(C647,2100),Mortalidad_H!$B$2:$BX$2,0)),INDEX(Mortalidad_M!$B$3:$BX$93,MATCH(B647,Mortalidad_M!$A$3:$A$93,0),MATCH(MIN(C647,2100),Mortalidad_M!$B$2:$BX$2,0))),1)</f>
        <v/>
      </c>
      <c r="E647" s="15">
        <f>1-(1-D647)^(1/12)</f>
        <v/>
      </c>
      <c r="F647" s="16">
        <f>F646*(1-E646)</f>
        <v/>
      </c>
      <c r="G647" s="16">
        <f>1/(1+$C$7)^(A647/12)</f>
        <v/>
      </c>
      <c r="H647" s="16">
        <f>F647*G647</f>
        <v/>
      </c>
    </row>
    <row r="648">
      <c r="A648" s="14" t="n">
        <v>636</v>
      </c>
      <c r="B648">
        <f>$C$5+INT(A648/12)</f>
        <v/>
      </c>
      <c r="C648">
        <f>Parametros!$B$5+INT(A648/12)</f>
        <v/>
      </c>
      <c r="D648" s="15">
        <f>IFERROR(IF($C$4="H",INDEX(Mortalidad_H!$B$3:$BX$113,MATCH(B648,Mortalidad_H!$A$3:$A$113,0),MATCH(MIN(C648,2100),Mortalidad_H!$B$2:$BX$2,0)),INDEX(Mortalidad_M!$B$3:$BX$93,MATCH(B648,Mortalidad_M!$A$3:$A$93,0),MATCH(MIN(C648,2100),Mortalidad_M!$B$2:$BX$2,0))),1)</f>
        <v/>
      </c>
      <c r="E648" s="15">
        <f>1-(1-D648)^(1/12)</f>
        <v/>
      </c>
      <c r="F648" s="16">
        <f>F647*(1-E647)</f>
        <v/>
      </c>
      <c r="G648" s="16">
        <f>1/(1+$C$7)^(A648/12)</f>
        <v/>
      </c>
      <c r="H648" s="16">
        <f>F648*G648</f>
        <v/>
      </c>
    </row>
    <row r="649">
      <c r="A649" s="14" t="n">
        <v>637</v>
      </c>
      <c r="B649">
        <f>$C$5+INT(A649/12)</f>
        <v/>
      </c>
      <c r="C649">
        <f>Parametros!$B$5+INT(A649/12)</f>
        <v/>
      </c>
      <c r="D649" s="15">
        <f>IFERROR(IF($C$4="H",INDEX(Mortalidad_H!$B$3:$BX$113,MATCH(B649,Mortalidad_H!$A$3:$A$113,0),MATCH(MIN(C649,2100),Mortalidad_H!$B$2:$BX$2,0)),INDEX(Mortalidad_M!$B$3:$BX$93,MATCH(B649,Mortalidad_M!$A$3:$A$93,0),MATCH(MIN(C649,2100),Mortalidad_M!$B$2:$BX$2,0))),1)</f>
        <v/>
      </c>
      <c r="E649" s="15">
        <f>1-(1-D649)^(1/12)</f>
        <v/>
      </c>
      <c r="F649" s="16">
        <f>F648*(1-E648)</f>
        <v/>
      </c>
      <c r="G649" s="16">
        <f>1/(1+$C$7)^(A649/12)</f>
        <v/>
      </c>
      <c r="H649" s="16">
        <f>F649*G649</f>
        <v/>
      </c>
    </row>
    <row r="650">
      <c r="A650" s="14" t="n">
        <v>638</v>
      </c>
      <c r="B650">
        <f>$C$5+INT(A650/12)</f>
        <v/>
      </c>
      <c r="C650">
        <f>Parametros!$B$5+INT(A650/12)</f>
        <v/>
      </c>
      <c r="D650" s="15">
        <f>IFERROR(IF($C$4="H",INDEX(Mortalidad_H!$B$3:$BX$113,MATCH(B650,Mortalidad_H!$A$3:$A$113,0),MATCH(MIN(C650,2100),Mortalidad_H!$B$2:$BX$2,0)),INDEX(Mortalidad_M!$B$3:$BX$93,MATCH(B650,Mortalidad_M!$A$3:$A$93,0),MATCH(MIN(C650,2100),Mortalidad_M!$B$2:$BX$2,0))),1)</f>
        <v/>
      </c>
      <c r="E650" s="15">
        <f>1-(1-D650)^(1/12)</f>
        <v/>
      </c>
      <c r="F650" s="16">
        <f>F649*(1-E649)</f>
        <v/>
      </c>
      <c r="G650" s="16">
        <f>1/(1+$C$7)^(A650/12)</f>
        <v/>
      </c>
      <c r="H650" s="16">
        <f>F650*G650</f>
        <v/>
      </c>
    </row>
    <row r="651">
      <c r="A651" s="14" t="n">
        <v>639</v>
      </c>
      <c r="B651">
        <f>$C$5+INT(A651/12)</f>
        <v/>
      </c>
      <c r="C651">
        <f>Parametros!$B$5+INT(A651/12)</f>
        <v/>
      </c>
      <c r="D651" s="15">
        <f>IFERROR(IF($C$4="H",INDEX(Mortalidad_H!$B$3:$BX$113,MATCH(B651,Mortalidad_H!$A$3:$A$113,0),MATCH(MIN(C651,2100),Mortalidad_H!$B$2:$BX$2,0)),INDEX(Mortalidad_M!$B$3:$BX$93,MATCH(B651,Mortalidad_M!$A$3:$A$93,0),MATCH(MIN(C651,2100),Mortalidad_M!$B$2:$BX$2,0))),1)</f>
        <v/>
      </c>
      <c r="E651" s="15">
        <f>1-(1-D651)^(1/12)</f>
        <v/>
      </c>
      <c r="F651" s="16">
        <f>F650*(1-E650)</f>
        <v/>
      </c>
      <c r="G651" s="16">
        <f>1/(1+$C$7)^(A651/12)</f>
        <v/>
      </c>
      <c r="H651" s="16">
        <f>F651*G651</f>
        <v/>
      </c>
    </row>
    <row r="652">
      <c r="A652" s="14" t="n">
        <v>640</v>
      </c>
      <c r="B652">
        <f>$C$5+INT(A652/12)</f>
        <v/>
      </c>
      <c r="C652">
        <f>Parametros!$B$5+INT(A652/12)</f>
        <v/>
      </c>
      <c r="D652" s="15">
        <f>IFERROR(IF($C$4="H",INDEX(Mortalidad_H!$B$3:$BX$113,MATCH(B652,Mortalidad_H!$A$3:$A$113,0),MATCH(MIN(C652,2100),Mortalidad_H!$B$2:$BX$2,0)),INDEX(Mortalidad_M!$B$3:$BX$93,MATCH(B652,Mortalidad_M!$A$3:$A$93,0),MATCH(MIN(C652,2100),Mortalidad_M!$B$2:$BX$2,0))),1)</f>
        <v/>
      </c>
      <c r="E652" s="15">
        <f>1-(1-D652)^(1/12)</f>
        <v/>
      </c>
      <c r="F652" s="16">
        <f>F651*(1-E651)</f>
        <v/>
      </c>
      <c r="G652" s="16">
        <f>1/(1+$C$7)^(A652/12)</f>
        <v/>
      </c>
      <c r="H652" s="16">
        <f>F652*G652</f>
        <v/>
      </c>
    </row>
    <row r="653">
      <c r="A653" s="14" t="n">
        <v>641</v>
      </c>
      <c r="B653">
        <f>$C$5+INT(A653/12)</f>
        <v/>
      </c>
      <c r="C653">
        <f>Parametros!$B$5+INT(A653/12)</f>
        <v/>
      </c>
      <c r="D653" s="15">
        <f>IFERROR(IF($C$4="H",INDEX(Mortalidad_H!$B$3:$BX$113,MATCH(B653,Mortalidad_H!$A$3:$A$113,0),MATCH(MIN(C653,2100),Mortalidad_H!$B$2:$BX$2,0)),INDEX(Mortalidad_M!$B$3:$BX$93,MATCH(B653,Mortalidad_M!$A$3:$A$93,0),MATCH(MIN(C653,2100),Mortalidad_M!$B$2:$BX$2,0))),1)</f>
        <v/>
      </c>
      <c r="E653" s="15">
        <f>1-(1-D653)^(1/12)</f>
        <v/>
      </c>
      <c r="F653" s="16">
        <f>F652*(1-E652)</f>
        <v/>
      </c>
      <c r="G653" s="16">
        <f>1/(1+$C$7)^(A653/12)</f>
        <v/>
      </c>
      <c r="H653" s="16">
        <f>F653*G653</f>
        <v/>
      </c>
    </row>
    <row r="654">
      <c r="A654" s="14" t="n">
        <v>642</v>
      </c>
      <c r="B654">
        <f>$C$5+INT(A654/12)</f>
        <v/>
      </c>
      <c r="C654">
        <f>Parametros!$B$5+INT(A654/12)</f>
        <v/>
      </c>
      <c r="D654" s="15">
        <f>IFERROR(IF($C$4="H",INDEX(Mortalidad_H!$B$3:$BX$113,MATCH(B654,Mortalidad_H!$A$3:$A$113,0),MATCH(MIN(C654,2100),Mortalidad_H!$B$2:$BX$2,0)),INDEX(Mortalidad_M!$B$3:$BX$93,MATCH(B654,Mortalidad_M!$A$3:$A$93,0),MATCH(MIN(C654,2100),Mortalidad_M!$B$2:$BX$2,0))),1)</f>
        <v/>
      </c>
      <c r="E654" s="15">
        <f>1-(1-D654)^(1/12)</f>
        <v/>
      </c>
      <c r="F654" s="16">
        <f>F653*(1-E653)</f>
        <v/>
      </c>
      <c r="G654" s="16">
        <f>1/(1+$C$7)^(A654/12)</f>
        <v/>
      </c>
      <c r="H654" s="16">
        <f>F654*G654</f>
        <v/>
      </c>
    </row>
    <row r="655">
      <c r="A655" s="14" t="n">
        <v>643</v>
      </c>
      <c r="B655">
        <f>$C$5+INT(A655/12)</f>
        <v/>
      </c>
      <c r="C655">
        <f>Parametros!$B$5+INT(A655/12)</f>
        <v/>
      </c>
      <c r="D655" s="15">
        <f>IFERROR(IF($C$4="H",INDEX(Mortalidad_H!$B$3:$BX$113,MATCH(B655,Mortalidad_H!$A$3:$A$113,0),MATCH(MIN(C655,2100),Mortalidad_H!$B$2:$BX$2,0)),INDEX(Mortalidad_M!$B$3:$BX$93,MATCH(B655,Mortalidad_M!$A$3:$A$93,0),MATCH(MIN(C655,2100),Mortalidad_M!$B$2:$BX$2,0))),1)</f>
        <v/>
      </c>
      <c r="E655" s="15">
        <f>1-(1-D655)^(1/12)</f>
        <v/>
      </c>
      <c r="F655" s="16">
        <f>F654*(1-E654)</f>
        <v/>
      </c>
      <c r="G655" s="16">
        <f>1/(1+$C$7)^(A655/12)</f>
        <v/>
      </c>
      <c r="H655" s="16">
        <f>F655*G655</f>
        <v/>
      </c>
    </row>
    <row r="656">
      <c r="A656" s="14" t="n">
        <v>644</v>
      </c>
      <c r="B656">
        <f>$C$5+INT(A656/12)</f>
        <v/>
      </c>
      <c r="C656">
        <f>Parametros!$B$5+INT(A656/12)</f>
        <v/>
      </c>
      <c r="D656" s="15">
        <f>IFERROR(IF($C$4="H",INDEX(Mortalidad_H!$B$3:$BX$113,MATCH(B656,Mortalidad_H!$A$3:$A$113,0),MATCH(MIN(C656,2100),Mortalidad_H!$B$2:$BX$2,0)),INDEX(Mortalidad_M!$B$3:$BX$93,MATCH(B656,Mortalidad_M!$A$3:$A$93,0),MATCH(MIN(C656,2100),Mortalidad_M!$B$2:$BX$2,0))),1)</f>
        <v/>
      </c>
      <c r="E656" s="15">
        <f>1-(1-D656)^(1/12)</f>
        <v/>
      </c>
      <c r="F656" s="16">
        <f>F655*(1-E655)</f>
        <v/>
      </c>
      <c r="G656" s="16">
        <f>1/(1+$C$7)^(A656/12)</f>
        <v/>
      </c>
      <c r="H656" s="16">
        <f>F656*G656</f>
        <v/>
      </c>
    </row>
    <row r="657">
      <c r="A657" s="14" t="n">
        <v>645</v>
      </c>
      <c r="B657">
        <f>$C$5+INT(A657/12)</f>
        <v/>
      </c>
      <c r="C657">
        <f>Parametros!$B$5+INT(A657/12)</f>
        <v/>
      </c>
      <c r="D657" s="15">
        <f>IFERROR(IF($C$4="H",INDEX(Mortalidad_H!$B$3:$BX$113,MATCH(B657,Mortalidad_H!$A$3:$A$113,0),MATCH(MIN(C657,2100),Mortalidad_H!$B$2:$BX$2,0)),INDEX(Mortalidad_M!$B$3:$BX$93,MATCH(B657,Mortalidad_M!$A$3:$A$93,0),MATCH(MIN(C657,2100),Mortalidad_M!$B$2:$BX$2,0))),1)</f>
        <v/>
      </c>
      <c r="E657" s="15">
        <f>1-(1-D657)^(1/12)</f>
        <v/>
      </c>
      <c r="F657" s="16">
        <f>F656*(1-E656)</f>
        <v/>
      </c>
      <c r="G657" s="16">
        <f>1/(1+$C$7)^(A657/12)</f>
        <v/>
      </c>
      <c r="H657" s="16">
        <f>F657*G657</f>
        <v/>
      </c>
    </row>
    <row r="658">
      <c r="A658" s="14" t="n">
        <v>646</v>
      </c>
      <c r="B658">
        <f>$C$5+INT(A658/12)</f>
        <v/>
      </c>
      <c r="C658">
        <f>Parametros!$B$5+INT(A658/12)</f>
        <v/>
      </c>
      <c r="D658" s="15">
        <f>IFERROR(IF($C$4="H",INDEX(Mortalidad_H!$B$3:$BX$113,MATCH(B658,Mortalidad_H!$A$3:$A$113,0),MATCH(MIN(C658,2100),Mortalidad_H!$B$2:$BX$2,0)),INDEX(Mortalidad_M!$B$3:$BX$93,MATCH(B658,Mortalidad_M!$A$3:$A$93,0),MATCH(MIN(C658,2100),Mortalidad_M!$B$2:$BX$2,0))),1)</f>
        <v/>
      </c>
      <c r="E658" s="15">
        <f>1-(1-D658)^(1/12)</f>
        <v/>
      </c>
      <c r="F658" s="16">
        <f>F657*(1-E657)</f>
        <v/>
      </c>
      <c r="G658" s="16">
        <f>1/(1+$C$7)^(A658/12)</f>
        <v/>
      </c>
      <c r="H658" s="16">
        <f>F658*G658</f>
        <v/>
      </c>
    </row>
    <row r="659">
      <c r="A659" s="14" t="n">
        <v>647</v>
      </c>
      <c r="B659">
        <f>$C$5+INT(A659/12)</f>
        <v/>
      </c>
      <c r="C659">
        <f>Parametros!$B$5+INT(A659/12)</f>
        <v/>
      </c>
      <c r="D659" s="15">
        <f>IFERROR(IF($C$4="H",INDEX(Mortalidad_H!$B$3:$BX$113,MATCH(B659,Mortalidad_H!$A$3:$A$113,0),MATCH(MIN(C659,2100),Mortalidad_H!$B$2:$BX$2,0)),INDEX(Mortalidad_M!$B$3:$BX$93,MATCH(B659,Mortalidad_M!$A$3:$A$93,0),MATCH(MIN(C659,2100),Mortalidad_M!$B$2:$BX$2,0))),1)</f>
        <v/>
      </c>
      <c r="E659" s="15">
        <f>1-(1-D659)^(1/12)</f>
        <v/>
      </c>
      <c r="F659" s="16">
        <f>F658*(1-E658)</f>
        <v/>
      </c>
      <c r="G659" s="16">
        <f>1/(1+$C$7)^(A659/12)</f>
        <v/>
      </c>
      <c r="H659" s="16">
        <f>F659*G659</f>
        <v/>
      </c>
    </row>
    <row r="660">
      <c r="A660" s="14" t="n">
        <v>648</v>
      </c>
      <c r="B660">
        <f>$C$5+INT(A660/12)</f>
        <v/>
      </c>
      <c r="C660">
        <f>Parametros!$B$5+INT(A660/12)</f>
        <v/>
      </c>
      <c r="D660" s="15">
        <f>IFERROR(IF($C$4="H",INDEX(Mortalidad_H!$B$3:$BX$113,MATCH(B660,Mortalidad_H!$A$3:$A$113,0),MATCH(MIN(C660,2100),Mortalidad_H!$B$2:$BX$2,0)),INDEX(Mortalidad_M!$B$3:$BX$93,MATCH(B660,Mortalidad_M!$A$3:$A$93,0),MATCH(MIN(C660,2100),Mortalidad_M!$B$2:$BX$2,0))),1)</f>
        <v/>
      </c>
      <c r="E660" s="15">
        <f>1-(1-D660)^(1/12)</f>
        <v/>
      </c>
      <c r="F660" s="16">
        <f>F659*(1-E659)</f>
        <v/>
      </c>
      <c r="G660" s="16">
        <f>1/(1+$C$7)^(A660/12)</f>
        <v/>
      </c>
      <c r="H660" s="16">
        <f>F660*G660</f>
        <v/>
      </c>
    </row>
    <row r="661">
      <c r="A661" s="14" t="n">
        <v>649</v>
      </c>
      <c r="B661">
        <f>$C$5+INT(A661/12)</f>
        <v/>
      </c>
      <c r="C661">
        <f>Parametros!$B$5+INT(A661/12)</f>
        <v/>
      </c>
      <c r="D661" s="15">
        <f>IFERROR(IF($C$4="H",INDEX(Mortalidad_H!$B$3:$BX$113,MATCH(B661,Mortalidad_H!$A$3:$A$113,0),MATCH(MIN(C661,2100),Mortalidad_H!$B$2:$BX$2,0)),INDEX(Mortalidad_M!$B$3:$BX$93,MATCH(B661,Mortalidad_M!$A$3:$A$93,0),MATCH(MIN(C661,2100),Mortalidad_M!$B$2:$BX$2,0))),1)</f>
        <v/>
      </c>
      <c r="E661" s="15">
        <f>1-(1-D661)^(1/12)</f>
        <v/>
      </c>
      <c r="F661" s="16">
        <f>F660*(1-E660)</f>
        <v/>
      </c>
      <c r="G661" s="16">
        <f>1/(1+$C$7)^(A661/12)</f>
        <v/>
      </c>
      <c r="H661" s="16">
        <f>F661*G661</f>
        <v/>
      </c>
    </row>
    <row r="662">
      <c r="A662" s="14" t="n">
        <v>650</v>
      </c>
      <c r="B662">
        <f>$C$5+INT(A662/12)</f>
        <v/>
      </c>
      <c r="C662">
        <f>Parametros!$B$5+INT(A662/12)</f>
        <v/>
      </c>
      <c r="D662" s="15">
        <f>IFERROR(IF($C$4="H",INDEX(Mortalidad_H!$B$3:$BX$113,MATCH(B662,Mortalidad_H!$A$3:$A$113,0),MATCH(MIN(C662,2100),Mortalidad_H!$B$2:$BX$2,0)),INDEX(Mortalidad_M!$B$3:$BX$93,MATCH(B662,Mortalidad_M!$A$3:$A$93,0),MATCH(MIN(C662,2100),Mortalidad_M!$B$2:$BX$2,0))),1)</f>
        <v/>
      </c>
      <c r="E662" s="15">
        <f>1-(1-D662)^(1/12)</f>
        <v/>
      </c>
      <c r="F662" s="16">
        <f>F661*(1-E661)</f>
        <v/>
      </c>
      <c r="G662" s="16">
        <f>1/(1+$C$7)^(A662/12)</f>
        <v/>
      </c>
      <c r="H662" s="16">
        <f>F662*G662</f>
        <v/>
      </c>
    </row>
    <row r="663">
      <c r="A663" s="14" t="n">
        <v>651</v>
      </c>
      <c r="B663">
        <f>$C$5+INT(A663/12)</f>
        <v/>
      </c>
      <c r="C663">
        <f>Parametros!$B$5+INT(A663/12)</f>
        <v/>
      </c>
      <c r="D663" s="15">
        <f>IFERROR(IF($C$4="H",INDEX(Mortalidad_H!$B$3:$BX$113,MATCH(B663,Mortalidad_H!$A$3:$A$113,0),MATCH(MIN(C663,2100),Mortalidad_H!$B$2:$BX$2,0)),INDEX(Mortalidad_M!$B$3:$BX$93,MATCH(B663,Mortalidad_M!$A$3:$A$93,0),MATCH(MIN(C663,2100),Mortalidad_M!$B$2:$BX$2,0))),1)</f>
        <v/>
      </c>
      <c r="E663" s="15">
        <f>1-(1-D663)^(1/12)</f>
        <v/>
      </c>
      <c r="F663" s="16">
        <f>F662*(1-E662)</f>
        <v/>
      </c>
      <c r="G663" s="16">
        <f>1/(1+$C$7)^(A663/12)</f>
        <v/>
      </c>
      <c r="H663" s="16">
        <f>F663*G663</f>
        <v/>
      </c>
    </row>
    <row r="664">
      <c r="A664" s="14" t="n">
        <v>652</v>
      </c>
      <c r="B664">
        <f>$C$5+INT(A664/12)</f>
        <v/>
      </c>
      <c r="C664">
        <f>Parametros!$B$5+INT(A664/12)</f>
        <v/>
      </c>
      <c r="D664" s="15">
        <f>IFERROR(IF($C$4="H",INDEX(Mortalidad_H!$B$3:$BX$113,MATCH(B664,Mortalidad_H!$A$3:$A$113,0),MATCH(MIN(C664,2100),Mortalidad_H!$B$2:$BX$2,0)),INDEX(Mortalidad_M!$B$3:$BX$93,MATCH(B664,Mortalidad_M!$A$3:$A$93,0),MATCH(MIN(C664,2100),Mortalidad_M!$B$2:$BX$2,0))),1)</f>
        <v/>
      </c>
      <c r="E664" s="15">
        <f>1-(1-D664)^(1/12)</f>
        <v/>
      </c>
      <c r="F664" s="16">
        <f>F663*(1-E663)</f>
        <v/>
      </c>
      <c r="G664" s="16">
        <f>1/(1+$C$7)^(A664/12)</f>
        <v/>
      </c>
      <c r="H664" s="16">
        <f>F664*G664</f>
        <v/>
      </c>
    </row>
    <row r="665">
      <c r="A665" s="14" t="n">
        <v>653</v>
      </c>
      <c r="B665">
        <f>$C$5+INT(A665/12)</f>
        <v/>
      </c>
      <c r="C665">
        <f>Parametros!$B$5+INT(A665/12)</f>
        <v/>
      </c>
      <c r="D665" s="15">
        <f>IFERROR(IF($C$4="H",INDEX(Mortalidad_H!$B$3:$BX$113,MATCH(B665,Mortalidad_H!$A$3:$A$113,0),MATCH(MIN(C665,2100),Mortalidad_H!$B$2:$BX$2,0)),INDEX(Mortalidad_M!$B$3:$BX$93,MATCH(B665,Mortalidad_M!$A$3:$A$93,0),MATCH(MIN(C665,2100),Mortalidad_M!$B$2:$BX$2,0))),1)</f>
        <v/>
      </c>
      <c r="E665" s="15">
        <f>1-(1-D665)^(1/12)</f>
        <v/>
      </c>
      <c r="F665" s="16">
        <f>F664*(1-E664)</f>
        <v/>
      </c>
      <c r="G665" s="16">
        <f>1/(1+$C$7)^(A665/12)</f>
        <v/>
      </c>
      <c r="H665" s="16">
        <f>F665*G665</f>
        <v/>
      </c>
    </row>
    <row r="666">
      <c r="A666" s="14" t="n">
        <v>654</v>
      </c>
      <c r="B666">
        <f>$C$5+INT(A666/12)</f>
        <v/>
      </c>
      <c r="C666">
        <f>Parametros!$B$5+INT(A666/12)</f>
        <v/>
      </c>
      <c r="D666" s="15">
        <f>IFERROR(IF($C$4="H",INDEX(Mortalidad_H!$B$3:$BX$113,MATCH(B666,Mortalidad_H!$A$3:$A$113,0),MATCH(MIN(C666,2100),Mortalidad_H!$B$2:$BX$2,0)),INDEX(Mortalidad_M!$B$3:$BX$93,MATCH(B666,Mortalidad_M!$A$3:$A$93,0),MATCH(MIN(C666,2100),Mortalidad_M!$B$2:$BX$2,0))),1)</f>
        <v/>
      </c>
      <c r="E666" s="15">
        <f>1-(1-D666)^(1/12)</f>
        <v/>
      </c>
      <c r="F666" s="16">
        <f>F665*(1-E665)</f>
        <v/>
      </c>
      <c r="G666" s="16">
        <f>1/(1+$C$7)^(A666/12)</f>
        <v/>
      </c>
      <c r="H666" s="16">
        <f>F666*G666</f>
        <v/>
      </c>
    </row>
    <row r="667">
      <c r="A667" s="14" t="n">
        <v>655</v>
      </c>
      <c r="B667">
        <f>$C$5+INT(A667/12)</f>
        <v/>
      </c>
      <c r="C667">
        <f>Parametros!$B$5+INT(A667/12)</f>
        <v/>
      </c>
      <c r="D667" s="15">
        <f>IFERROR(IF($C$4="H",INDEX(Mortalidad_H!$B$3:$BX$113,MATCH(B667,Mortalidad_H!$A$3:$A$113,0),MATCH(MIN(C667,2100),Mortalidad_H!$B$2:$BX$2,0)),INDEX(Mortalidad_M!$B$3:$BX$93,MATCH(B667,Mortalidad_M!$A$3:$A$93,0),MATCH(MIN(C667,2100),Mortalidad_M!$B$2:$BX$2,0))),1)</f>
        <v/>
      </c>
      <c r="E667" s="15">
        <f>1-(1-D667)^(1/12)</f>
        <v/>
      </c>
      <c r="F667" s="16">
        <f>F666*(1-E666)</f>
        <v/>
      </c>
      <c r="G667" s="16">
        <f>1/(1+$C$7)^(A667/12)</f>
        <v/>
      </c>
      <c r="H667" s="16">
        <f>F667*G667</f>
        <v/>
      </c>
    </row>
    <row r="668">
      <c r="A668" s="14" t="n">
        <v>656</v>
      </c>
      <c r="B668">
        <f>$C$5+INT(A668/12)</f>
        <v/>
      </c>
      <c r="C668">
        <f>Parametros!$B$5+INT(A668/12)</f>
        <v/>
      </c>
      <c r="D668" s="15">
        <f>IFERROR(IF($C$4="H",INDEX(Mortalidad_H!$B$3:$BX$113,MATCH(B668,Mortalidad_H!$A$3:$A$113,0),MATCH(MIN(C668,2100),Mortalidad_H!$B$2:$BX$2,0)),INDEX(Mortalidad_M!$B$3:$BX$93,MATCH(B668,Mortalidad_M!$A$3:$A$93,0),MATCH(MIN(C668,2100),Mortalidad_M!$B$2:$BX$2,0))),1)</f>
        <v/>
      </c>
      <c r="E668" s="15">
        <f>1-(1-D668)^(1/12)</f>
        <v/>
      </c>
      <c r="F668" s="16">
        <f>F667*(1-E667)</f>
        <v/>
      </c>
      <c r="G668" s="16">
        <f>1/(1+$C$7)^(A668/12)</f>
        <v/>
      </c>
      <c r="H668" s="16">
        <f>F668*G668</f>
        <v/>
      </c>
    </row>
    <row r="669">
      <c r="A669" s="14" t="n">
        <v>657</v>
      </c>
      <c r="B669">
        <f>$C$5+INT(A669/12)</f>
        <v/>
      </c>
      <c r="C669">
        <f>Parametros!$B$5+INT(A669/12)</f>
        <v/>
      </c>
      <c r="D669" s="15">
        <f>IFERROR(IF($C$4="H",INDEX(Mortalidad_H!$B$3:$BX$113,MATCH(B669,Mortalidad_H!$A$3:$A$113,0),MATCH(MIN(C669,2100),Mortalidad_H!$B$2:$BX$2,0)),INDEX(Mortalidad_M!$B$3:$BX$93,MATCH(B669,Mortalidad_M!$A$3:$A$93,0),MATCH(MIN(C669,2100),Mortalidad_M!$B$2:$BX$2,0))),1)</f>
        <v/>
      </c>
      <c r="E669" s="15">
        <f>1-(1-D669)^(1/12)</f>
        <v/>
      </c>
      <c r="F669" s="16">
        <f>F668*(1-E668)</f>
        <v/>
      </c>
      <c r="G669" s="16">
        <f>1/(1+$C$7)^(A669/12)</f>
        <v/>
      </c>
      <c r="H669" s="16">
        <f>F669*G669</f>
        <v/>
      </c>
    </row>
    <row r="670">
      <c r="A670" s="14" t="n">
        <v>658</v>
      </c>
      <c r="B670">
        <f>$C$5+INT(A670/12)</f>
        <v/>
      </c>
      <c r="C670">
        <f>Parametros!$B$5+INT(A670/12)</f>
        <v/>
      </c>
      <c r="D670" s="15">
        <f>IFERROR(IF($C$4="H",INDEX(Mortalidad_H!$B$3:$BX$113,MATCH(B670,Mortalidad_H!$A$3:$A$113,0),MATCH(MIN(C670,2100),Mortalidad_H!$B$2:$BX$2,0)),INDEX(Mortalidad_M!$B$3:$BX$93,MATCH(B670,Mortalidad_M!$A$3:$A$93,0),MATCH(MIN(C670,2100),Mortalidad_M!$B$2:$BX$2,0))),1)</f>
        <v/>
      </c>
      <c r="E670" s="15">
        <f>1-(1-D670)^(1/12)</f>
        <v/>
      </c>
      <c r="F670" s="16">
        <f>F669*(1-E669)</f>
        <v/>
      </c>
      <c r="G670" s="16">
        <f>1/(1+$C$7)^(A670/12)</f>
        <v/>
      </c>
      <c r="H670" s="16">
        <f>F670*G670</f>
        <v/>
      </c>
    </row>
    <row r="671">
      <c r="A671" s="14" t="n">
        <v>659</v>
      </c>
      <c r="B671">
        <f>$C$5+INT(A671/12)</f>
        <v/>
      </c>
      <c r="C671">
        <f>Parametros!$B$5+INT(A671/12)</f>
        <v/>
      </c>
      <c r="D671" s="15">
        <f>IFERROR(IF($C$4="H",INDEX(Mortalidad_H!$B$3:$BX$113,MATCH(B671,Mortalidad_H!$A$3:$A$113,0),MATCH(MIN(C671,2100),Mortalidad_H!$B$2:$BX$2,0)),INDEX(Mortalidad_M!$B$3:$BX$93,MATCH(B671,Mortalidad_M!$A$3:$A$93,0),MATCH(MIN(C671,2100),Mortalidad_M!$B$2:$BX$2,0))),1)</f>
        <v/>
      </c>
      <c r="E671" s="15">
        <f>1-(1-D671)^(1/12)</f>
        <v/>
      </c>
      <c r="F671" s="16">
        <f>F670*(1-E670)</f>
        <v/>
      </c>
      <c r="G671" s="16">
        <f>1/(1+$C$7)^(A671/12)</f>
        <v/>
      </c>
      <c r="H671" s="16">
        <f>F671*G671</f>
        <v/>
      </c>
    </row>
    <row r="672">
      <c r="A672" s="14" t="n">
        <v>660</v>
      </c>
      <c r="B672">
        <f>$C$5+INT(A672/12)</f>
        <v/>
      </c>
      <c r="C672">
        <f>Parametros!$B$5+INT(A672/12)</f>
        <v/>
      </c>
      <c r="D672" s="15">
        <f>IFERROR(IF($C$4="H",INDEX(Mortalidad_H!$B$3:$BX$113,MATCH(B672,Mortalidad_H!$A$3:$A$113,0),MATCH(MIN(C672,2100),Mortalidad_H!$B$2:$BX$2,0)),INDEX(Mortalidad_M!$B$3:$BX$93,MATCH(B672,Mortalidad_M!$A$3:$A$93,0),MATCH(MIN(C672,2100),Mortalidad_M!$B$2:$BX$2,0))),1)</f>
        <v/>
      </c>
      <c r="E672" s="15">
        <f>1-(1-D672)^(1/12)</f>
        <v/>
      </c>
      <c r="F672" s="16">
        <f>F671*(1-E671)</f>
        <v/>
      </c>
      <c r="G672" s="16">
        <f>1/(1+$C$7)^(A672/12)</f>
        <v/>
      </c>
      <c r="H672" s="16">
        <f>F672*G672</f>
        <v/>
      </c>
    </row>
    <row r="673">
      <c r="A673" s="14" t="n">
        <v>661</v>
      </c>
      <c r="B673">
        <f>$C$5+INT(A673/12)</f>
        <v/>
      </c>
      <c r="C673">
        <f>Parametros!$B$5+INT(A673/12)</f>
        <v/>
      </c>
      <c r="D673" s="15">
        <f>IFERROR(IF($C$4="H",INDEX(Mortalidad_H!$B$3:$BX$113,MATCH(B673,Mortalidad_H!$A$3:$A$113,0),MATCH(MIN(C673,2100),Mortalidad_H!$B$2:$BX$2,0)),INDEX(Mortalidad_M!$B$3:$BX$93,MATCH(B673,Mortalidad_M!$A$3:$A$93,0),MATCH(MIN(C673,2100),Mortalidad_M!$B$2:$BX$2,0))),1)</f>
        <v/>
      </c>
      <c r="E673" s="15">
        <f>1-(1-D673)^(1/12)</f>
        <v/>
      </c>
      <c r="F673" s="16">
        <f>F672*(1-E672)</f>
        <v/>
      </c>
      <c r="G673" s="16">
        <f>1/(1+$C$7)^(A673/12)</f>
        <v/>
      </c>
      <c r="H673" s="16">
        <f>F673*G673</f>
        <v/>
      </c>
    </row>
    <row r="674">
      <c r="A674" s="14" t="n">
        <v>662</v>
      </c>
      <c r="B674">
        <f>$C$5+INT(A674/12)</f>
        <v/>
      </c>
      <c r="C674">
        <f>Parametros!$B$5+INT(A674/12)</f>
        <v/>
      </c>
      <c r="D674" s="15">
        <f>IFERROR(IF($C$4="H",INDEX(Mortalidad_H!$B$3:$BX$113,MATCH(B674,Mortalidad_H!$A$3:$A$113,0),MATCH(MIN(C674,2100),Mortalidad_H!$B$2:$BX$2,0)),INDEX(Mortalidad_M!$B$3:$BX$93,MATCH(B674,Mortalidad_M!$A$3:$A$93,0),MATCH(MIN(C674,2100),Mortalidad_M!$B$2:$BX$2,0))),1)</f>
        <v/>
      </c>
      <c r="E674" s="15">
        <f>1-(1-D674)^(1/12)</f>
        <v/>
      </c>
      <c r="F674" s="16">
        <f>F673*(1-E673)</f>
        <v/>
      </c>
      <c r="G674" s="16">
        <f>1/(1+$C$7)^(A674/12)</f>
        <v/>
      </c>
      <c r="H674" s="16">
        <f>F674*G674</f>
        <v/>
      </c>
    </row>
    <row r="675">
      <c r="A675" s="14" t="n">
        <v>663</v>
      </c>
      <c r="B675">
        <f>$C$5+INT(A675/12)</f>
        <v/>
      </c>
      <c r="C675">
        <f>Parametros!$B$5+INT(A675/12)</f>
        <v/>
      </c>
      <c r="D675" s="15">
        <f>IFERROR(IF($C$4="H",INDEX(Mortalidad_H!$B$3:$BX$113,MATCH(B675,Mortalidad_H!$A$3:$A$113,0),MATCH(MIN(C675,2100),Mortalidad_H!$B$2:$BX$2,0)),INDEX(Mortalidad_M!$B$3:$BX$93,MATCH(B675,Mortalidad_M!$A$3:$A$93,0),MATCH(MIN(C675,2100),Mortalidad_M!$B$2:$BX$2,0))),1)</f>
        <v/>
      </c>
      <c r="E675" s="15">
        <f>1-(1-D675)^(1/12)</f>
        <v/>
      </c>
      <c r="F675" s="16">
        <f>F674*(1-E674)</f>
        <v/>
      </c>
      <c r="G675" s="16">
        <f>1/(1+$C$7)^(A675/12)</f>
        <v/>
      </c>
      <c r="H675" s="16">
        <f>F675*G675</f>
        <v/>
      </c>
    </row>
    <row r="676">
      <c r="A676" s="14" t="n">
        <v>664</v>
      </c>
      <c r="B676">
        <f>$C$5+INT(A676/12)</f>
        <v/>
      </c>
      <c r="C676">
        <f>Parametros!$B$5+INT(A676/12)</f>
        <v/>
      </c>
      <c r="D676" s="15">
        <f>IFERROR(IF($C$4="H",INDEX(Mortalidad_H!$B$3:$BX$113,MATCH(B676,Mortalidad_H!$A$3:$A$113,0),MATCH(MIN(C676,2100),Mortalidad_H!$B$2:$BX$2,0)),INDEX(Mortalidad_M!$B$3:$BX$93,MATCH(B676,Mortalidad_M!$A$3:$A$93,0),MATCH(MIN(C676,2100),Mortalidad_M!$B$2:$BX$2,0))),1)</f>
        <v/>
      </c>
      <c r="E676" s="15">
        <f>1-(1-D676)^(1/12)</f>
        <v/>
      </c>
      <c r="F676" s="16">
        <f>F675*(1-E675)</f>
        <v/>
      </c>
      <c r="G676" s="16">
        <f>1/(1+$C$7)^(A676/12)</f>
        <v/>
      </c>
      <c r="H676" s="16">
        <f>F676*G676</f>
        <v/>
      </c>
    </row>
    <row r="677">
      <c r="A677" s="14" t="n">
        <v>665</v>
      </c>
      <c r="B677">
        <f>$C$5+INT(A677/12)</f>
        <v/>
      </c>
      <c r="C677">
        <f>Parametros!$B$5+INT(A677/12)</f>
        <v/>
      </c>
      <c r="D677" s="15">
        <f>IFERROR(IF($C$4="H",INDEX(Mortalidad_H!$B$3:$BX$113,MATCH(B677,Mortalidad_H!$A$3:$A$113,0),MATCH(MIN(C677,2100),Mortalidad_H!$B$2:$BX$2,0)),INDEX(Mortalidad_M!$B$3:$BX$93,MATCH(B677,Mortalidad_M!$A$3:$A$93,0),MATCH(MIN(C677,2100),Mortalidad_M!$B$2:$BX$2,0))),1)</f>
        <v/>
      </c>
      <c r="E677" s="15">
        <f>1-(1-D677)^(1/12)</f>
        <v/>
      </c>
      <c r="F677" s="16">
        <f>F676*(1-E676)</f>
        <v/>
      </c>
      <c r="G677" s="16">
        <f>1/(1+$C$7)^(A677/12)</f>
        <v/>
      </c>
      <c r="H677" s="16">
        <f>F677*G677</f>
        <v/>
      </c>
    </row>
    <row r="678">
      <c r="A678" s="14" t="n">
        <v>666</v>
      </c>
      <c r="B678">
        <f>$C$5+INT(A678/12)</f>
        <v/>
      </c>
      <c r="C678">
        <f>Parametros!$B$5+INT(A678/12)</f>
        <v/>
      </c>
      <c r="D678" s="15">
        <f>IFERROR(IF($C$4="H",INDEX(Mortalidad_H!$B$3:$BX$113,MATCH(B678,Mortalidad_H!$A$3:$A$113,0),MATCH(MIN(C678,2100),Mortalidad_H!$B$2:$BX$2,0)),INDEX(Mortalidad_M!$B$3:$BX$93,MATCH(B678,Mortalidad_M!$A$3:$A$93,0),MATCH(MIN(C678,2100),Mortalidad_M!$B$2:$BX$2,0))),1)</f>
        <v/>
      </c>
      <c r="E678" s="15">
        <f>1-(1-D678)^(1/12)</f>
        <v/>
      </c>
      <c r="F678" s="16">
        <f>F677*(1-E677)</f>
        <v/>
      </c>
      <c r="G678" s="16">
        <f>1/(1+$C$7)^(A678/12)</f>
        <v/>
      </c>
      <c r="H678" s="16">
        <f>F678*G678</f>
        <v/>
      </c>
    </row>
    <row r="679">
      <c r="A679" s="14" t="n">
        <v>667</v>
      </c>
      <c r="B679">
        <f>$C$5+INT(A679/12)</f>
        <v/>
      </c>
      <c r="C679">
        <f>Parametros!$B$5+INT(A679/12)</f>
        <v/>
      </c>
      <c r="D679" s="15">
        <f>IFERROR(IF($C$4="H",INDEX(Mortalidad_H!$B$3:$BX$113,MATCH(B679,Mortalidad_H!$A$3:$A$113,0),MATCH(MIN(C679,2100),Mortalidad_H!$B$2:$BX$2,0)),INDEX(Mortalidad_M!$B$3:$BX$93,MATCH(B679,Mortalidad_M!$A$3:$A$93,0),MATCH(MIN(C679,2100),Mortalidad_M!$B$2:$BX$2,0))),1)</f>
        <v/>
      </c>
      <c r="E679" s="15">
        <f>1-(1-D679)^(1/12)</f>
        <v/>
      </c>
      <c r="F679" s="16">
        <f>F678*(1-E678)</f>
        <v/>
      </c>
      <c r="G679" s="16">
        <f>1/(1+$C$7)^(A679/12)</f>
        <v/>
      </c>
      <c r="H679" s="16">
        <f>F679*G679</f>
        <v/>
      </c>
    </row>
    <row r="680">
      <c r="A680" s="14" t="n">
        <v>668</v>
      </c>
      <c r="B680">
        <f>$C$5+INT(A680/12)</f>
        <v/>
      </c>
      <c r="C680">
        <f>Parametros!$B$5+INT(A680/12)</f>
        <v/>
      </c>
      <c r="D680" s="15">
        <f>IFERROR(IF($C$4="H",INDEX(Mortalidad_H!$B$3:$BX$113,MATCH(B680,Mortalidad_H!$A$3:$A$113,0),MATCH(MIN(C680,2100),Mortalidad_H!$B$2:$BX$2,0)),INDEX(Mortalidad_M!$B$3:$BX$93,MATCH(B680,Mortalidad_M!$A$3:$A$93,0),MATCH(MIN(C680,2100),Mortalidad_M!$B$2:$BX$2,0))),1)</f>
        <v/>
      </c>
      <c r="E680" s="15">
        <f>1-(1-D680)^(1/12)</f>
        <v/>
      </c>
      <c r="F680" s="16">
        <f>F679*(1-E679)</f>
        <v/>
      </c>
      <c r="G680" s="16">
        <f>1/(1+$C$7)^(A680/12)</f>
        <v/>
      </c>
      <c r="H680" s="16">
        <f>F680*G680</f>
        <v/>
      </c>
    </row>
    <row r="681">
      <c r="A681" s="14" t="n">
        <v>669</v>
      </c>
      <c r="B681">
        <f>$C$5+INT(A681/12)</f>
        <v/>
      </c>
      <c r="C681">
        <f>Parametros!$B$5+INT(A681/12)</f>
        <v/>
      </c>
      <c r="D681" s="15">
        <f>IFERROR(IF($C$4="H",INDEX(Mortalidad_H!$B$3:$BX$113,MATCH(B681,Mortalidad_H!$A$3:$A$113,0),MATCH(MIN(C681,2100),Mortalidad_H!$B$2:$BX$2,0)),INDEX(Mortalidad_M!$B$3:$BX$93,MATCH(B681,Mortalidad_M!$A$3:$A$93,0),MATCH(MIN(C681,2100),Mortalidad_M!$B$2:$BX$2,0))),1)</f>
        <v/>
      </c>
      <c r="E681" s="15">
        <f>1-(1-D681)^(1/12)</f>
        <v/>
      </c>
      <c r="F681" s="16">
        <f>F680*(1-E680)</f>
        <v/>
      </c>
      <c r="G681" s="16">
        <f>1/(1+$C$7)^(A681/12)</f>
        <v/>
      </c>
      <c r="H681" s="16">
        <f>F681*G681</f>
        <v/>
      </c>
    </row>
    <row r="682">
      <c r="A682" s="14" t="n">
        <v>670</v>
      </c>
      <c r="B682">
        <f>$C$5+INT(A682/12)</f>
        <v/>
      </c>
      <c r="C682">
        <f>Parametros!$B$5+INT(A682/12)</f>
        <v/>
      </c>
      <c r="D682" s="15">
        <f>IFERROR(IF($C$4="H",INDEX(Mortalidad_H!$B$3:$BX$113,MATCH(B682,Mortalidad_H!$A$3:$A$113,0),MATCH(MIN(C682,2100),Mortalidad_H!$B$2:$BX$2,0)),INDEX(Mortalidad_M!$B$3:$BX$93,MATCH(B682,Mortalidad_M!$A$3:$A$93,0),MATCH(MIN(C682,2100),Mortalidad_M!$B$2:$BX$2,0))),1)</f>
        <v/>
      </c>
      <c r="E682" s="15">
        <f>1-(1-D682)^(1/12)</f>
        <v/>
      </c>
      <c r="F682" s="16">
        <f>F681*(1-E681)</f>
        <v/>
      </c>
      <c r="G682" s="16">
        <f>1/(1+$C$7)^(A682/12)</f>
        <v/>
      </c>
      <c r="H682" s="16">
        <f>F682*G682</f>
        <v/>
      </c>
    </row>
    <row r="683">
      <c r="A683" s="14" t="n">
        <v>671</v>
      </c>
      <c r="B683">
        <f>$C$5+INT(A683/12)</f>
        <v/>
      </c>
      <c r="C683">
        <f>Parametros!$B$5+INT(A683/12)</f>
        <v/>
      </c>
      <c r="D683" s="15">
        <f>IFERROR(IF($C$4="H",INDEX(Mortalidad_H!$B$3:$BX$113,MATCH(B683,Mortalidad_H!$A$3:$A$113,0),MATCH(MIN(C683,2100),Mortalidad_H!$B$2:$BX$2,0)),INDEX(Mortalidad_M!$B$3:$BX$93,MATCH(B683,Mortalidad_M!$A$3:$A$93,0),MATCH(MIN(C683,2100),Mortalidad_M!$B$2:$BX$2,0))),1)</f>
        <v/>
      </c>
      <c r="E683" s="15">
        <f>1-(1-D683)^(1/12)</f>
        <v/>
      </c>
      <c r="F683" s="16">
        <f>F682*(1-E682)</f>
        <v/>
      </c>
      <c r="G683" s="16">
        <f>1/(1+$C$7)^(A683/12)</f>
        <v/>
      </c>
      <c r="H683" s="16">
        <f>F683*G683</f>
        <v/>
      </c>
    </row>
    <row r="684">
      <c r="A684" s="14" t="n">
        <v>672</v>
      </c>
      <c r="B684">
        <f>$C$5+INT(A684/12)</f>
        <v/>
      </c>
      <c r="C684">
        <f>Parametros!$B$5+INT(A684/12)</f>
        <v/>
      </c>
      <c r="D684" s="15">
        <f>IFERROR(IF($C$4="H",INDEX(Mortalidad_H!$B$3:$BX$113,MATCH(B684,Mortalidad_H!$A$3:$A$113,0),MATCH(MIN(C684,2100),Mortalidad_H!$B$2:$BX$2,0)),INDEX(Mortalidad_M!$B$3:$BX$93,MATCH(B684,Mortalidad_M!$A$3:$A$93,0),MATCH(MIN(C684,2100),Mortalidad_M!$B$2:$BX$2,0))),1)</f>
        <v/>
      </c>
      <c r="E684" s="15">
        <f>1-(1-D684)^(1/12)</f>
        <v/>
      </c>
      <c r="F684" s="16">
        <f>F683*(1-E683)</f>
        <v/>
      </c>
      <c r="G684" s="16">
        <f>1/(1+$C$7)^(A684/12)</f>
        <v/>
      </c>
      <c r="H684" s="16">
        <f>F684*G684</f>
        <v/>
      </c>
    </row>
    <row r="685">
      <c r="A685" s="14" t="n">
        <v>673</v>
      </c>
      <c r="B685">
        <f>$C$5+INT(A685/12)</f>
        <v/>
      </c>
      <c r="C685">
        <f>Parametros!$B$5+INT(A685/12)</f>
        <v/>
      </c>
      <c r="D685" s="15">
        <f>IFERROR(IF($C$4="H",INDEX(Mortalidad_H!$B$3:$BX$113,MATCH(B685,Mortalidad_H!$A$3:$A$113,0),MATCH(MIN(C685,2100),Mortalidad_H!$B$2:$BX$2,0)),INDEX(Mortalidad_M!$B$3:$BX$93,MATCH(B685,Mortalidad_M!$A$3:$A$93,0),MATCH(MIN(C685,2100),Mortalidad_M!$B$2:$BX$2,0))),1)</f>
        <v/>
      </c>
      <c r="E685" s="15">
        <f>1-(1-D685)^(1/12)</f>
        <v/>
      </c>
      <c r="F685" s="16">
        <f>F684*(1-E684)</f>
        <v/>
      </c>
      <c r="G685" s="16">
        <f>1/(1+$C$7)^(A685/12)</f>
        <v/>
      </c>
      <c r="H685" s="16">
        <f>F685*G685</f>
        <v/>
      </c>
    </row>
    <row r="686">
      <c r="A686" s="14" t="n">
        <v>674</v>
      </c>
      <c r="B686">
        <f>$C$5+INT(A686/12)</f>
        <v/>
      </c>
      <c r="C686">
        <f>Parametros!$B$5+INT(A686/12)</f>
        <v/>
      </c>
      <c r="D686" s="15">
        <f>IFERROR(IF($C$4="H",INDEX(Mortalidad_H!$B$3:$BX$113,MATCH(B686,Mortalidad_H!$A$3:$A$113,0),MATCH(MIN(C686,2100),Mortalidad_H!$B$2:$BX$2,0)),INDEX(Mortalidad_M!$B$3:$BX$93,MATCH(B686,Mortalidad_M!$A$3:$A$93,0),MATCH(MIN(C686,2100),Mortalidad_M!$B$2:$BX$2,0))),1)</f>
        <v/>
      </c>
      <c r="E686" s="15">
        <f>1-(1-D686)^(1/12)</f>
        <v/>
      </c>
      <c r="F686" s="16">
        <f>F685*(1-E685)</f>
        <v/>
      </c>
      <c r="G686" s="16">
        <f>1/(1+$C$7)^(A686/12)</f>
        <v/>
      </c>
      <c r="H686" s="16">
        <f>F686*G686</f>
        <v/>
      </c>
    </row>
    <row r="687">
      <c r="A687" s="14" t="n">
        <v>675</v>
      </c>
      <c r="B687">
        <f>$C$5+INT(A687/12)</f>
        <v/>
      </c>
      <c r="C687">
        <f>Parametros!$B$5+INT(A687/12)</f>
        <v/>
      </c>
      <c r="D687" s="15">
        <f>IFERROR(IF($C$4="H",INDEX(Mortalidad_H!$B$3:$BX$113,MATCH(B687,Mortalidad_H!$A$3:$A$113,0),MATCH(MIN(C687,2100),Mortalidad_H!$B$2:$BX$2,0)),INDEX(Mortalidad_M!$B$3:$BX$93,MATCH(B687,Mortalidad_M!$A$3:$A$93,0),MATCH(MIN(C687,2100),Mortalidad_M!$B$2:$BX$2,0))),1)</f>
        <v/>
      </c>
      <c r="E687" s="15">
        <f>1-(1-D687)^(1/12)</f>
        <v/>
      </c>
      <c r="F687" s="16">
        <f>F686*(1-E686)</f>
        <v/>
      </c>
      <c r="G687" s="16">
        <f>1/(1+$C$7)^(A687/12)</f>
        <v/>
      </c>
      <c r="H687" s="16">
        <f>F687*G687</f>
        <v/>
      </c>
    </row>
    <row r="688">
      <c r="A688" s="14" t="n">
        <v>676</v>
      </c>
      <c r="B688">
        <f>$C$5+INT(A688/12)</f>
        <v/>
      </c>
      <c r="C688">
        <f>Parametros!$B$5+INT(A688/12)</f>
        <v/>
      </c>
      <c r="D688" s="15">
        <f>IFERROR(IF($C$4="H",INDEX(Mortalidad_H!$B$3:$BX$113,MATCH(B688,Mortalidad_H!$A$3:$A$113,0),MATCH(MIN(C688,2100),Mortalidad_H!$B$2:$BX$2,0)),INDEX(Mortalidad_M!$B$3:$BX$93,MATCH(B688,Mortalidad_M!$A$3:$A$93,0),MATCH(MIN(C688,2100),Mortalidad_M!$B$2:$BX$2,0))),1)</f>
        <v/>
      </c>
      <c r="E688" s="15">
        <f>1-(1-D688)^(1/12)</f>
        <v/>
      </c>
      <c r="F688" s="16">
        <f>F687*(1-E687)</f>
        <v/>
      </c>
      <c r="G688" s="16">
        <f>1/(1+$C$7)^(A688/12)</f>
        <v/>
      </c>
      <c r="H688" s="16">
        <f>F688*G688</f>
        <v/>
      </c>
    </row>
    <row r="689">
      <c r="A689" s="14" t="n">
        <v>677</v>
      </c>
      <c r="B689">
        <f>$C$5+INT(A689/12)</f>
        <v/>
      </c>
      <c r="C689">
        <f>Parametros!$B$5+INT(A689/12)</f>
        <v/>
      </c>
      <c r="D689" s="15">
        <f>IFERROR(IF($C$4="H",INDEX(Mortalidad_H!$B$3:$BX$113,MATCH(B689,Mortalidad_H!$A$3:$A$113,0),MATCH(MIN(C689,2100),Mortalidad_H!$B$2:$BX$2,0)),INDEX(Mortalidad_M!$B$3:$BX$93,MATCH(B689,Mortalidad_M!$A$3:$A$93,0),MATCH(MIN(C689,2100),Mortalidad_M!$B$2:$BX$2,0))),1)</f>
        <v/>
      </c>
      <c r="E689" s="15">
        <f>1-(1-D689)^(1/12)</f>
        <v/>
      </c>
      <c r="F689" s="16">
        <f>F688*(1-E688)</f>
        <v/>
      </c>
      <c r="G689" s="16">
        <f>1/(1+$C$7)^(A689/12)</f>
        <v/>
      </c>
      <c r="H689" s="16">
        <f>F689*G689</f>
        <v/>
      </c>
    </row>
    <row r="690">
      <c r="A690" s="14" t="n">
        <v>678</v>
      </c>
      <c r="B690">
        <f>$C$5+INT(A690/12)</f>
        <v/>
      </c>
      <c r="C690">
        <f>Parametros!$B$5+INT(A690/12)</f>
        <v/>
      </c>
      <c r="D690" s="15">
        <f>IFERROR(IF($C$4="H",INDEX(Mortalidad_H!$B$3:$BX$113,MATCH(B690,Mortalidad_H!$A$3:$A$113,0),MATCH(MIN(C690,2100),Mortalidad_H!$B$2:$BX$2,0)),INDEX(Mortalidad_M!$B$3:$BX$93,MATCH(B690,Mortalidad_M!$A$3:$A$93,0),MATCH(MIN(C690,2100),Mortalidad_M!$B$2:$BX$2,0))),1)</f>
        <v/>
      </c>
      <c r="E690" s="15">
        <f>1-(1-D690)^(1/12)</f>
        <v/>
      </c>
      <c r="F690" s="16">
        <f>F689*(1-E689)</f>
        <v/>
      </c>
      <c r="G690" s="16">
        <f>1/(1+$C$7)^(A690/12)</f>
        <v/>
      </c>
      <c r="H690" s="16">
        <f>F690*G690</f>
        <v/>
      </c>
    </row>
    <row r="691">
      <c r="A691" s="14" t="n">
        <v>679</v>
      </c>
      <c r="B691">
        <f>$C$5+INT(A691/12)</f>
        <v/>
      </c>
      <c r="C691">
        <f>Parametros!$B$5+INT(A691/12)</f>
        <v/>
      </c>
      <c r="D691" s="15">
        <f>IFERROR(IF($C$4="H",INDEX(Mortalidad_H!$B$3:$BX$113,MATCH(B691,Mortalidad_H!$A$3:$A$113,0),MATCH(MIN(C691,2100),Mortalidad_H!$B$2:$BX$2,0)),INDEX(Mortalidad_M!$B$3:$BX$93,MATCH(B691,Mortalidad_M!$A$3:$A$93,0),MATCH(MIN(C691,2100),Mortalidad_M!$B$2:$BX$2,0))),1)</f>
        <v/>
      </c>
      <c r="E691" s="15">
        <f>1-(1-D691)^(1/12)</f>
        <v/>
      </c>
      <c r="F691" s="16">
        <f>F690*(1-E690)</f>
        <v/>
      </c>
      <c r="G691" s="16">
        <f>1/(1+$C$7)^(A691/12)</f>
        <v/>
      </c>
      <c r="H691" s="16">
        <f>F691*G691</f>
        <v/>
      </c>
    </row>
    <row r="692">
      <c r="A692" s="14" t="n">
        <v>680</v>
      </c>
      <c r="B692">
        <f>$C$5+INT(A692/12)</f>
        <v/>
      </c>
      <c r="C692">
        <f>Parametros!$B$5+INT(A692/12)</f>
        <v/>
      </c>
      <c r="D692" s="15">
        <f>IFERROR(IF($C$4="H",INDEX(Mortalidad_H!$B$3:$BX$113,MATCH(B692,Mortalidad_H!$A$3:$A$113,0),MATCH(MIN(C692,2100),Mortalidad_H!$B$2:$BX$2,0)),INDEX(Mortalidad_M!$B$3:$BX$93,MATCH(B692,Mortalidad_M!$A$3:$A$93,0),MATCH(MIN(C692,2100),Mortalidad_M!$B$2:$BX$2,0))),1)</f>
        <v/>
      </c>
      <c r="E692" s="15">
        <f>1-(1-D692)^(1/12)</f>
        <v/>
      </c>
      <c r="F692" s="16">
        <f>F691*(1-E691)</f>
        <v/>
      </c>
      <c r="G692" s="16">
        <f>1/(1+$C$7)^(A692/12)</f>
        <v/>
      </c>
      <c r="H692" s="16">
        <f>F692*G692</f>
        <v/>
      </c>
    </row>
    <row r="693">
      <c r="A693" s="14" t="n">
        <v>681</v>
      </c>
      <c r="B693">
        <f>$C$5+INT(A693/12)</f>
        <v/>
      </c>
      <c r="C693">
        <f>Parametros!$B$5+INT(A693/12)</f>
        <v/>
      </c>
      <c r="D693" s="15">
        <f>IFERROR(IF($C$4="H",INDEX(Mortalidad_H!$B$3:$BX$113,MATCH(B693,Mortalidad_H!$A$3:$A$113,0),MATCH(MIN(C693,2100),Mortalidad_H!$B$2:$BX$2,0)),INDEX(Mortalidad_M!$B$3:$BX$93,MATCH(B693,Mortalidad_M!$A$3:$A$93,0),MATCH(MIN(C693,2100),Mortalidad_M!$B$2:$BX$2,0))),1)</f>
        <v/>
      </c>
      <c r="E693" s="15">
        <f>1-(1-D693)^(1/12)</f>
        <v/>
      </c>
      <c r="F693" s="16">
        <f>F692*(1-E692)</f>
        <v/>
      </c>
      <c r="G693" s="16">
        <f>1/(1+$C$7)^(A693/12)</f>
        <v/>
      </c>
      <c r="H693" s="16">
        <f>F693*G693</f>
        <v/>
      </c>
    </row>
    <row r="694">
      <c r="A694" s="14" t="n">
        <v>682</v>
      </c>
      <c r="B694">
        <f>$C$5+INT(A694/12)</f>
        <v/>
      </c>
      <c r="C694">
        <f>Parametros!$B$5+INT(A694/12)</f>
        <v/>
      </c>
      <c r="D694" s="15">
        <f>IFERROR(IF($C$4="H",INDEX(Mortalidad_H!$B$3:$BX$113,MATCH(B694,Mortalidad_H!$A$3:$A$113,0),MATCH(MIN(C694,2100),Mortalidad_H!$B$2:$BX$2,0)),INDEX(Mortalidad_M!$B$3:$BX$93,MATCH(B694,Mortalidad_M!$A$3:$A$93,0),MATCH(MIN(C694,2100),Mortalidad_M!$B$2:$BX$2,0))),1)</f>
        <v/>
      </c>
      <c r="E694" s="15">
        <f>1-(1-D694)^(1/12)</f>
        <v/>
      </c>
      <c r="F694" s="16">
        <f>F693*(1-E693)</f>
        <v/>
      </c>
      <c r="G694" s="16">
        <f>1/(1+$C$7)^(A694/12)</f>
        <v/>
      </c>
      <c r="H694" s="16">
        <f>F694*G694</f>
        <v/>
      </c>
    </row>
    <row r="695">
      <c r="A695" s="14" t="n">
        <v>683</v>
      </c>
      <c r="B695">
        <f>$C$5+INT(A695/12)</f>
        <v/>
      </c>
      <c r="C695">
        <f>Parametros!$B$5+INT(A695/12)</f>
        <v/>
      </c>
      <c r="D695" s="15">
        <f>IFERROR(IF($C$4="H",INDEX(Mortalidad_H!$B$3:$BX$113,MATCH(B695,Mortalidad_H!$A$3:$A$113,0),MATCH(MIN(C695,2100),Mortalidad_H!$B$2:$BX$2,0)),INDEX(Mortalidad_M!$B$3:$BX$93,MATCH(B695,Mortalidad_M!$A$3:$A$93,0),MATCH(MIN(C695,2100),Mortalidad_M!$B$2:$BX$2,0))),1)</f>
        <v/>
      </c>
      <c r="E695" s="15">
        <f>1-(1-D695)^(1/12)</f>
        <v/>
      </c>
      <c r="F695" s="16">
        <f>F694*(1-E694)</f>
        <v/>
      </c>
      <c r="G695" s="16">
        <f>1/(1+$C$7)^(A695/12)</f>
        <v/>
      </c>
      <c r="H695" s="16">
        <f>F695*G695</f>
        <v/>
      </c>
    </row>
    <row r="696">
      <c r="A696" s="14" t="n">
        <v>684</v>
      </c>
      <c r="B696">
        <f>$C$5+INT(A696/12)</f>
        <v/>
      </c>
      <c r="C696">
        <f>Parametros!$B$5+INT(A696/12)</f>
        <v/>
      </c>
      <c r="D696" s="15">
        <f>IFERROR(IF($C$4="H",INDEX(Mortalidad_H!$B$3:$BX$113,MATCH(B696,Mortalidad_H!$A$3:$A$113,0),MATCH(MIN(C696,2100),Mortalidad_H!$B$2:$BX$2,0)),INDEX(Mortalidad_M!$B$3:$BX$93,MATCH(B696,Mortalidad_M!$A$3:$A$93,0),MATCH(MIN(C696,2100),Mortalidad_M!$B$2:$BX$2,0))),1)</f>
        <v/>
      </c>
      <c r="E696" s="15">
        <f>1-(1-D696)^(1/12)</f>
        <v/>
      </c>
      <c r="F696" s="16">
        <f>F695*(1-E695)</f>
        <v/>
      </c>
      <c r="G696" s="16">
        <f>1/(1+$C$7)^(A696/12)</f>
        <v/>
      </c>
      <c r="H696" s="16">
        <f>F696*G696</f>
        <v/>
      </c>
    </row>
    <row r="697">
      <c r="A697" s="14" t="n">
        <v>685</v>
      </c>
      <c r="B697">
        <f>$C$5+INT(A697/12)</f>
        <v/>
      </c>
      <c r="C697">
        <f>Parametros!$B$5+INT(A697/12)</f>
        <v/>
      </c>
      <c r="D697" s="15">
        <f>IFERROR(IF($C$4="H",INDEX(Mortalidad_H!$B$3:$BX$113,MATCH(B697,Mortalidad_H!$A$3:$A$113,0),MATCH(MIN(C697,2100),Mortalidad_H!$B$2:$BX$2,0)),INDEX(Mortalidad_M!$B$3:$BX$93,MATCH(B697,Mortalidad_M!$A$3:$A$93,0),MATCH(MIN(C697,2100),Mortalidad_M!$B$2:$BX$2,0))),1)</f>
        <v/>
      </c>
      <c r="E697" s="15">
        <f>1-(1-D697)^(1/12)</f>
        <v/>
      </c>
      <c r="F697" s="16">
        <f>F696*(1-E696)</f>
        <v/>
      </c>
      <c r="G697" s="16">
        <f>1/(1+$C$7)^(A697/12)</f>
        <v/>
      </c>
      <c r="H697" s="16">
        <f>F697*G697</f>
        <v/>
      </c>
    </row>
    <row r="698">
      <c r="A698" s="14" t="n">
        <v>686</v>
      </c>
      <c r="B698">
        <f>$C$5+INT(A698/12)</f>
        <v/>
      </c>
      <c r="C698">
        <f>Parametros!$B$5+INT(A698/12)</f>
        <v/>
      </c>
      <c r="D698" s="15">
        <f>IFERROR(IF($C$4="H",INDEX(Mortalidad_H!$B$3:$BX$113,MATCH(B698,Mortalidad_H!$A$3:$A$113,0),MATCH(MIN(C698,2100),Mortalidad_H!$B$2:$BX$2,0)),INDEX(Mortalidad_M!$B$3:$BX$93,MATCH(B698,Mortalidad_M!$A$3:$A$93,0),MATCH(MIN(C698,2100),Mortalidad_M!$B$2:$BX$2,0))),1)</f>
        <v/>
      </c>
      <c r="E698" s="15">
        <f>1-(1-D698)^(1/12)</f>
        <v/>
      </c>
      <c r="F698" s="16">
        <f>F697*(1-E697)</f>
        <v/>
      </c>
      <c r="G698" s="16">
        <f>1/(1+$C$7)^(A698/12)</f>
        <v/>
      </c>
      <c r="H698" s="16">
        <f>F698*G698</f>
        <v/>
      </c>
    </row>
    <row r="699">
      <c r="A699" s="14" t="n">
        <v>687</v>
      </c>
      <c r="B699">
        <f>$C$5+INT(A699/12)</f>
        <v/>
      </c>
      <c r="C699">
        <f>Parametros!$B$5+INT(A699/12)</f>
        <v/>
      </c>
      <c r="D699" s="15">
        <f>IFERROR(IF($C$4="H",INDEX(Mortalidad_H!$B$3:$BX$113,MATCH(B699,Mortalidad_H!$A$3:$A$113,0),MATCH(MIN(C699,2100),Mortalidad_H!$B$2:$BX$2,0)),INDEX(Mortalidad_M!$B$3:$BX$93,MATCH(B699,Mortalidad_M!$A$3:$A$93,0),MATCH(MIN(C699,2100),Mortalidad_M!$B$2:$BX$2,0))),1)</f>
        <v/>
      </c>
      <c r="E699" s="15">
        <f>1-(1-D699)^(1/12)</f>
        <v/>
      </c>
      <c r="F699" s="16">
        <f>F698*(1-E698)</f>
        <v/>
      </c>
      <c r="G699" s="16">
        <f>1/(1+$C$7)^(A699/12)</f>
        <v/>
      </c>
      <c r="H699" s="16">
        <f>F699*G699</f>
        <v/>
      </c>
    </row>
    <row r="700">
      <c r="A700" s="14" t="n">
        <v>688</v>
      </c>
      <c r="B700">
        <f>$C$5+INT(A700/12)</f>
        <v/>
      </c>
      <c r="C700">
        <f>Parametros!$B$5+INT(A700/12)</f>
        <v/>
      </c>
      <c r="D700" s="15">
        <f>IFERROR(IF($C$4="H",INDEX(Mortalidad_H!$B$3:$BX$113,MATCH(B700,Mortalidad_H!$A$3:$A$113,0),MATCH(MIN(C700,2100),Mortalidad_H!$B$2:$BX$2,0)),INDEX(Mortalidad_M!$B$3:$BX$93,MATCH(B700,Mortalidad_M!$A$3:$A$93,0),MATCH(MIN(C700,2100),Mortalidad_M!$B$2:$BX$2,0))),1)</f>
        <v/>
      </c>
      <c r="E700" s="15">
        <f>1-(1-D700)^(1/12)</f>
        <v/>
      </c>
      <c r="F700" s="16">
        <f>F699*(1-E699)</f>
        <v/>
      </c>
      <c r="G700" s="16">
        <f>1/(1+$C$7)^(A700/12)</f>
        <v/>
      </c>
      <c r="H700" s="16">
        <f>F700*G700</f>
        <v/>
      </c>
    </row>
    <row r="701">
      <c r="A701" s="14" t="n">
        <v>689</v>
      </c>
      <c r="B701">
        <f>$C$5+INT(A701/12)</f>
        <v/>
      </c>
      <c r="C701">
        <f>Parametros!$B$5+INT(A701/12)</f>
        <v/>
      </c>
      <c r="D701" s="15">
        <f>IFERROR(IF($C$4="H",INDEX(Mortalidad_H!$B$3:$BX$113,MATCH(B701,Mortalidad_H!$A$3:$A$113,0),MATCH(MIN(C701,2100),Mortalidad_H!$B$2:$BX$2,0)),INDEX(Mortalidad_M!$B$3:$BX$93,MATCH(B701,Mortalidad_M!$A$3:$A$93,0),MATCH(MIN(C701,2100),Mortalidad_M!$B$2:$BX$2,0))),1)</f>
        <v/>
      </c>
      <c r="E701" s="15">
        <f>1-(1-D701)^(1/12)</f>
        <v/>
      </c>
      <c r="F701" s="16">
        <f>F700*(1-E700)</f>
        <v/>
      </c>
      <c r="G701" s="16">
        <f>1/(1+$C$7)^(A701/12)</f>
        <v/>
      </c>
      <c r="H701" s="16">
        <f>F701*G701</f>
        <v/>
      </c>
    </row>
    <row r="702">
      <c r="A702" s="14" t="n">
        <v>690</v>
      </c>
      <c r="B702">
        <f>$C$5+INT(A702/12)</f>
        <v/>
      </c>
      <c r="C702">
        <f>Parametros!$B$5+INT(A702/12)</f>
        <v/>
      </c>
      <c r="D702" s="15">
        <f>IFERROR(IF($C$4="H",INDEX(Mortalidad_H!$B$3:$BX$113,MATCH(B702,Mortalidad_H!$A$3:$A$113,0),MATCH(MIN(C702,2100),Mortalidad_H!$B$2:$BX$2,0)),INDEX(Mortalidad_M!$B$3:$BX$93,MATCH(B702,Mortalidad_M!$A$3:$A$93,0),MATCH(MIN(C702,2100),Mortalidad_M!$B$2:$BX$2,0))),1)</f>
        <v/>
      </c>
      <c r="E702" s="15">
        <f>1-(1-D702)^(1/12)</f>
        <v/>
      </c>
      <c r="F702" s="16">
        <f>F701*(1-E701)</f>
        <v/>
      </c>
      <c r="G702" s="16">
        <f>1/(1+$C$7)^(A702/12)</f>
        <v/>
      </c>
      <c r="H702" s="16">
        <f>F702*G702</f>
        <v/>
      </c>
    </row>
    <row r="703">
      <c r="A703" s="14" t="n">
        <v>691</v>
      </c>
      <c r="B703">
        <f>$C$5+INT(A703/12)</f>
        <v/>
      </c>
      <c r="C703">
        <f>Parametros!$B$5+INT(A703/12)</f>
        <v/>
      </c>
      <c r="D703" s="15">
        <f>IFERROR(IF($C$4="H",INDEX(Mortalidad_H!$B$3:$BX$113,MATCH(B703,Mortalidad_H!$A$3:$A$113,0),MATCH(MIN(C703,2100),Mortalidad_H!$B$2:$BX$2,0)),INDEX(Mortalidad_M!$B$3:$BX$93,MATCH(B703,Mortalidad_M!$A$3:$A$93,0),MATCH(MIN(C703,2100),Mortalidad_M!$B$2:$BX$2,0))),1)</f>
        <v/>
      </c>
      <c r="E703" s="15">
        <f>1-(1-D703)^(1/12)</f>
        <v/>
      </c>
      <c r="F703" s="16">
        <f>F702*(1-E702)</f>
        <v/>
      </c>
      <c r="G703" s="16">
        <f>1/(1+$C$7)^(A703/12)</f>
        <v/>
      </c>
      <c r="H703" s="16">
        <f>F703*G703</f>
        <v/>
      </c>
    </row>
    <row r="704">
      <c r="A704" s="14" t="n">
        <v>692</v>
      </c>
      <c r="B704">
        <f>$C$5+INT(A704/12)</f>
        <v/>
      </c>
      <c r="C704">
        <f>Parametros!$B$5+INT(A704/12)</f>
        <v/>
      </c>
      <c r="D704" s="15">
        <f>IFERROR(IF($C$4="H",INDEX(Mortalidad_H!$B$3:$BX$113,MATCH(B704,Mortalidad_H!$A$3:$A$113,0),MATCH(MIN(C704,2100),Mortalidad_H!$B$2:$BX$2,0)),INDEX(Mortalidad_M!$B$3:$BX$93,MATCH(B704,Mortalidad_M!$A$3:$A$93,0),MATCH(MIN(C704,2100),Mortalidad_M!$B$2:$BX$2,0))),1)</f>
        <v/>
      </c>
      <c r="E704" s="15">
        <f>1-(1-D704)^(1/12)</f>
        <v/>
      </c>
      <c r="F704" s="16">
        <f>F703*(1-E703)</f>
        <v/>
      </c>
      <c r="G704" s="16">
        <f>1/(1+$C$7)^(A704/12)</f>
        <v/>
      </c>
      <c r="H704" s="16">
        <f>F704*G704</f>
        <v/>
      </c>
    </row>
    <row r="705">
      <c r="A705" s="14" t="n">
        <v>693</v>
      </c>
      <c r="B705">
        <f>$C$5+INT(A705/12)</f>
        <v/>
      </c>
      <c r="C705">
        <f>Parametros!$B$5+INT(A705/12)</f>
        <v/>
      </c>
      <c r="D705" s="15">
        <f>IFERROR(IF($C$4="H",INDEX(Mortalidad_H!$B$3:$BX$113,MATCH(B705,Mortalidad_H!$A$3:$A$113,0),MATCH(MIN(C705,2100),Mortalidad_H!$B$2:$BX$2,0)),INDEX(Mortalidad_M!$B$3:$BX$93,MATCH(B705,Mortalidad_M!$A$3:$A$93,0),MATCH(MIN(C705,2100),Mortalidad_M!$B$2:$BX$2,0))),1)</f>
        <v/>
      </c>
      <c r="E705" s="15">
        <f>1-(1-D705)^(1/12)</f>
        <v/>
      </c>
      <c r="F705" s="16">
        <f>F704*(1-E704)</f>
        <v/>
      </c>
      <c r="G705" s="16">
        <f>1/(1+$C$7)^(A705/12)</f>
        <v/>
      </c>
      <c r="H705" s="16">
        <f>F705*G705</f>
        <v/>
      </c>
    </row>
    <row r="706">
      <c r="A706" s="14" t="n">
        <v>694</v>
      </c>
      <c r="B706">
        <f>$C$5+INT(A706/12)</f>
        <v/>
      </c>
      <c r="C706">
        <f>Parametros!$B$5+INT(A706/12)</f>
        <v/>
      </c>
      <c r="D706" s="15">
        <f>IFERROR(IF($C$4="H",INDEX(Mortalidad_H!$B$3:$BX$113,MATCH(B706,Mortalidad_H!$A$3:$A$113,0),MATCH(MIN(C706,2100),Mortalidad_H!$B$2:$BX$2,0)),INDEX(Mortalidad_M!$B$3:$BX$93,MATCH(B706,Mortalidad_M!$A$3:$A$93,0),MATCH(MIN(C706,2100),Mortalidad_M!$B$2:$BX$2,0))),1)</f>
        <v/>
      </c>
      <c r="E706" s="15">
        <f>1-(1-D706)^(1/12)</f>
        <v/>
      </c>
      <c r="F706" s="16">
        <f>F705*(1-E705)</f>
        <v/>
      </c>
      <c r="G706" s="16">
        <f>1/(1+$C$7)^(A706/12)</f>
        <v/>
      </c>
      <c r="H706" s="16">
        <f>F706*G706</f>
        <v/>
      </c>
    </row>
    <row r="707">
      <c r="A707" s="14" t="n">
        <v>695</v>
      </c>
      <c r="B707">
        <f>$C$5+INT(A707/12)</f>
        <v/>
      </c>
      <c r="C707">
        <f>Parametros!$B$5+INT(A707/12)</f>
        <v/>
      </c>
      <c r="D707" s="15">
        <f>IFERROR(IF($C$4="H",INDEX(Mortalidad_H!$B$3:$BX$113,MATCH(B707,Mortalidad_H!$A$3:$A$113,0),MATCH(MIN(C707,2100),Mortalidad_H!$B$2:$BX$2,0)),INDEX(Mortalidad_M!$B$3:$BX$93,MATCH(B707,Mortalidad_M!$A$3:$A$93,0),MATCH(MIN(C707,2100),Mortalidad_M!$B$2:$BX$2,0))),1)</f>
        <v/>
      </c>
      <c r="E707" s="15">
        <f>1-(1-D707)^(1/12)</f>
        <v/>
      </c>
      <c r="F707" s="16">
        <f>F706*(1-E706)</f>
        <v/>
      </c>
      <c r="G707" s="16">
        <f>1/(1+$C$7)^(A707/12)</f>
        <v/>
      </c>
      <c r="H707" s="16">
        <f>F707*G707</f>
        <v/>
      </c>
    </row>
    <row r="708">
      <c r="A708" s="14" t="n">
        <v>696</v>
      </c>
      <c r="B708">
        <f>$C$5+INT(A708/12)</f>
        <v/>
      </c>
      <c r="C708">
        <f>Parametros!$B$5+INT(A708/12)</f>
        <v/>
      </c>
      <c r="D708" s="15">
        <f>IFERROR(IF($C$4="H",INDEX(Mortalidad_H!$B$3:$BX$113,MATCH(B708,Mortalidad_H!$A$3:$A$113,0),MATCH(MIN(C708,2100),Mortalidad_H!$B$2:$BX$2,0)),INDEX(Mortalidad_M!$B$3:$BX$93,MATCH(B708,Mortalidad_M!$A$3:$A$93,0),MATCH(MIN(C708,2100),Mortalidad_M!$B$2:$BX$2,0))),1)</f>
        <v/>
      </c>
      <c r="E708" s="15">
        <f>1-(1-D708)^(1/12)</f>
        <v/>
      </c>
      <c r="F708" s="16">
        <f>F707*(1-E707)</f>
        <v/>
      </c>
      <c r="G708" s="16">
        <f>1/(1+$C$7)^(A708/12)</f>
        <v/>
      </c>
      <c r="H708" s="16">
        <f>F708*G708</f>
        <v/>
      </c>
    </row>
    <row r="709">
      <c r="A709" s="14" t="n">
        <v>697</v>
      </c>
      <c r="B709">
        <f>$C$5+INT(A709/12)</f>
        <v/>
      </c>
      <c r="C709">
        <f>Parametros!$B$5+INT(A709/12)</f>
        <v/>
      </c>
      <c r="D709" s="15">
        <f>IFERROR(IF($C$4="H",INDEX(Mortalidad_H!$B$3:$BX$113,MATCH(B709,Mortalidad_H!$A$3:$A$113,0),MATCH(MIN(C709,2100),Mortalidad_H!$B$2:$BX$2,0)),INDEX(Mortalidad_M!$B$3:$BX$93,MATCH(B709,Mortalidad_M!$A$3:$A$93,0),MATCH(MIN(C709,2100),Mortalidad_M!$B$2:$BX$2,0))),1)</f>
        <v/>
      </c>
      <c r="E709" s="15">
        <f>1-(1-D709)^(1/12)</f>
        <v/>
      </c>
      <c r="F709" s="16">
        <f>F708*(1-E708)</f>
        <v/>
      </c>
      <c r="G709" s="16">
        <f>1/(1+$C$7)^(A709/12)</f>
        <v/>
      </c>
      <c r="H709" s="16">
        <f>F709*G709</f>
        <v/>
      </c>
    </row>
    <row r="710">
      <c r="A710" s="14" t="n">
        <v>698</v>
      </c>
      <c r="B710">
        <f>$C$5+INT(A710/12)</f>
        <v/>
      </c>
      <c r="C710">
        <f>Parametros!$B$5+INT(A710/12)</f>
        <v/>
      </c>
      <c r="D710" s="15">
        <f>IFERROR(IF($C$4="H",INDEX(Mortalidad_H!$B$3:$BX$113,MATCH(B710,Mortalidad_H!$A$3:$A$113,0),MATCH(MIN(C710,2100),Mortalidad_H!$B$2:$BX$2,0)),INDEX(Mortalidad_M!$B$3:$BX$93,MATCH(B710,Mortalidad_M!$A$3:$A$93,0),MATCH(MIN(C710,2100),Mortalidad_M!$B$2:$BX$2,0))),1)</f>
        <v/>
      </c>
      <c r="E710" s="15">
        <f>1-(1-D710)^(1/12)</f>
        <v/>
      </c>
      <c r="F710" s="16">
        <f>F709*(1-E709)</f>
        <v/>
      </c>
      <c r="G710" s="16">
        <f>1/(1+$C$7)^(A710/12)</f>
        <v/>
      </c>
      <c r="H710" s="16">
        <f>F710*G710</f>
        <v/>
      </c>
    </row>
    <row r="711">
      <c r="A711" s="14" t="n">
        <v>699</v>
      </c>
      <c r="B711">
        <f>$C$5+INT(A711/12)</f>
        <v/>
      </c>
      <c r="C711">
        <f>Parametros!$B$5+INT(A711/12)</f>
        <v/>
      </c>
      <c r="D711" s="15">
        <f>IFERROR(IF($C$4="H",INDEX(Mortalidad_H!$B$3:$BX$113,MATCH(B711,Mortalidad_H!$A$3:$A$113,0),MATCH(MIN(C711,2100),Mortalidad_H!$B$2:$BX$2,0)),INDEX(Mortalidad_M!$B$3:$BX$93,MATCH(B711,Mortalidad_M!$A$3:$A$93,0),MATCH(MIN(C711,2100),Mortalidad_M!$B$2:$BX$2,0))),1)</f>
        <v/>
      </c>
      <c r="E711" s="15">
        <f>1-(1-D711)^(1/12)</f>
        <v/>
      </c>
      <c r="F711" s="16">
        <f>F710*(1-E710)</f>
        <v/>
      </c>
      <c r="G711" s="16">
        <f>1/(1+$C$7)^(A711/12)</f>
        <v/>
      </c>
      <c r="H711" s="16">
        <f>F711*G711</f>
        <v/>
      </c>
    </row>
    <row r="712">
      <c r="A712" s="14" t="n">
        <v>700</v>
      </c>
      <c r="B712">
        <f>$C$5+INT(A712/12)</f>
        <v/>
      </c>
      <c r="C712">
        <f>Parametros!$B$5+INT(A712/12)</f>
        <v/>
      </c>
      <c r="D712" s="15">
        <f>IFERROR(IF($C$4="H",INDEX(Mortalidad_H!$B$3:$BX$113,MATCH(B712,Mortalidad_H!$A$3:$A$113,0),MATCH(MIN(C712,2100),Mortalidad_H!$B$2:$BX$2,0)),INDEX(Mortalidad_M!$B$3:$BX$93,MATCH(B712,Mortalidad_M!$A$3:$A$93,0),MATCH(MIN(C712,2100),Mortalidad_M!$B$2:$BX$2,0))),1)</f>
        <v/>
      </c>
      <c r="E712" s="15">
        <f>1-(1-D712)^(1/12)</f>
        <v/>
      </c>
      <c r="F712" s="16">
        <f>F711*(1-E711)</f>
        <v/>
      </c>
      <c r="G712" s="16">
        <f>1/(1+$C$7)^(A712/12)</f>
        <v/>
      </c>
      <c r="H712" s="16">
        <f>F712*G712</f>
        <v/>
      </c>
    </row>
    <row r="713">
      <c r="A713" s="14" t="n">
        <v>701</v>
      </c>
      <c r="B713">
        <f>$C$5+INT(A713/12)</f>
        <v/>
      </c>
      <c r="C713">
        <f>Parametros!$B$5+INT(A713/12)</f>
        <v/>
      </c>
      <c r="D713" s="15">
        <f>IFERROR(IF($C$4="H",INDEX(Mortalidad_H!$B$3:$BX$113,MATCH(B713,Mortalidad_H!$A$3:$A$113,0),MATCH(MIN(C713,2100),Mortalidad_H!$B$2:$BX$2,0)),INDEX(Mortalidad_M!$B$3:$BX$93,MATCH(B713,Mortalidad_M!$A$3:$A$93,0),MATCH(MIN(C713,2100),Mortalidad_M!$B$2:$BX$2,0))),1)</f>
        <v/>
      </c>
      <c r="E713" s="15">
        <f>1-(1-D713)^(1/12)</f>
        <v/>
      </c>
      <c r="F713" s="16">
        <f>F712*(1-E712)</f>
        <v/>
      </c>
      <c r="G713" s="16">
        <f>1/(1+$C$7)^(A713/12)</f>
        <v/>
      </c>
      <c r="H713" s="16">
        <f>F713*G713</f>
        <v/>
      </c>
    </row>
    <row r="714">
      <c r="A714" s="14" t="n">
        <v>702</v>
      </c>
      <c r="B714">
        <f>$C$5+INT(A714/12)</f>
        <v/>
      </c>
      <c r="C714">
        <f>Parametros!$B$5+INT(A714/12)</f>
        <v/>
      </c>
      <c r="D714" s="15">
        <f>IFERROR(IF($C$4="H",INDEX(Mortalidad_H!$B$3:$BX$113,MATCH(B714,Mortalidad_H!$A$3:$A$113,0),MATCH(MIN(C714,2100),Mortalidad_H!$B$2:$BX$2,0)),INDEX(Mortalidad_M!$B$3:$BX$93,MATCH(B714,Mortalidad_M!$A$3:$A$93,0),MATCH(MIN(C714,2100),Mortalidad_M!$B$2:$BX$2,0))),1)</f>
        <v/>
      </c>
      <c r="E714" s="15">
        <f>1-(1-D714)^(1/12)</f>
        <v/>
      </c>
      <c r="F714" s="16">
        <f>F713*(1-E713)</f>
        <v/>
      </c>
      <c r="G714" s="16">
        <f>1/(1+$C$7)^(A714/12)</f>
        <v/>
      </c>
      <c r="H714" s="16">
        <f>F714*G714</f>
        <v/>
      </c>
    </row>
    <row r="715">
      <c r="A715" s="14" t="n">
        <v>703</v>
      </c>
      <c r="B715">
        <f>$C$5+INT(A715/12)</f>
        <v/>
      </c>
      <c r="C715">
        <f>Parametros!$B$5+INT(A715/12)</f>
        <v/>
      </c>
      <c r="D715" s="15">
        <f>IFERROR(IF($C$4="H",INDEX(Mortalidad_H!$B$3:$BX$113,MATCH(B715,Mortalidad_H!$A$3:$A$113,0),MATCH(MIN(C715,2100),Mortalidad_H!$B$2:$BX$2,0)),INDEX(Mortalidad_M!$B$3:$BX$93,MATCH(B715,Mortalidad_M!$A$3:$A$93,0),MATCH(MIN(C715,2100),Mortalidad_M!$B$2:$BX$2,0))),1)</f>
        <v/>
      </c>
      <c r="E715" s="15">
        <f>1-(1-D715)^(1/12)</f>
        <v/>
      </c>
      <c r="F715" s="16">
        <f>F714*(1-E714)</f>
        <v/>
      </c>
      <c r="G715" s="16">
        <f>1/(1+$C$7)^(A715/12)</f>
        <v/>
      </c>
      <c r="H715" s="16">
        <f>F715*G715</f>
        <v/>
      </c>
    </row>
    <row r="716">
      <c r="A716" s="14" t="n">
        <v>704</v>
      </c>
      <c r="B716">
        <f>$C$5+INT(A716/12)</f>
        <v/>
      </c>
      <c r="C716">
        <f>Parametros!$B$5+INT(A716/12)</f>
        <v/>
      </c>
      <c r="D716" s="15">
        <f>IFERROR(IF($C$4="H",INDEX(Mortalidad_H!$B$3:$BX$113,MATCH(B716,Mortalidad_H!$A$3:$A$113,0),MATCH(MIN(C716,2100),Mortalidad_H!$B$2:$BX$2,0)),INDEX(Mortalidad_M!$B$3:$BX$93,MATCH(B716,Mortalidad_M!$A$3:$A$93,0),MATCH(MIN(C716,2100),Mortalidad_M!$B$2:$BX$2,0))),1)</f>
        <v/>
      </c>
      <c r="E716" s="15">
        <f>1-(1-D716)^(1/12)</f>
        <v/>
      </c>
      <c r="F716" s="16">
        <f>F715*(1-E715)</f>
        <v/>
      </c>
      <c r="G716" s="16">
        <f>1/(1+$C$7)^(A716/12)</f>
        <v/>
      </c>
      <c r="H716" s="16">
        <f>F716*G716</f>
        <v/>
      </c>
    </row>
    <row r="717">
      <c r="A717" s="14" t="n">
        <v>705</v>
      </c>
      <c r="B717">
        <f>$C$5+INT(A717/12)</f>
        <v/>
      </c>
      <c r="C717">
        <f>Parametros!$B$5+INT(A717/12)</f>
        <v/>
      </c>
      <c r="D717" s="15">
        <f>IFERROR(IF($C$4="H",INDEX(Mortalidad_H!$B$3:$BX$113,MATCH(B717,Mortalidad_H!$A$3:$A$113,0),MATCH(MIN(C717,2100),Mortalidad_H!$B$2:$BX$2,0)),INDEX(Mortalidad_M!$B$3:$BX$93,MATCH(B717,Mortalidad_M!$A$3:$A$93,0),MATCH(MIN(C717,2100),Mortalidad_M!$B$2:$BX$2,0))),1)</f>
        <v/>
      </c>
      <c r="E717" s="15">
        <f>1-(1-D717)^(1/12)</f>
        <v/>
      </c>
      <c r="F717" s="16">
        <f>F716*(1-E716)</f>
        <v/>
      </c>
      <c r="G717" s="16">
        <f>1/(1+$C$7)^(A717/12)</f>
        <v/>
      </c>
      <c r="H717" s="16">
        <f>F717*G717</f>
        <v/>
      </c>
    </row>
    <row r="718">
      <c r="A718" s="14" t="n">
        <v>706</v>
      </c>
      <c r="B718">
        <f>$C$5+INT(A718/12)</f>
        <v/>
      </c>
      <c r="C718">
        <f>Parametros!$B$5+INT(A718/12)</f>
        <v/>
      </c>
      <c r="D718" s="15">
        <f>IFERROR(IF($C$4="H",INDEX(Mortalidad_H!$B$3:$BX$113,MATCH(B718,Mortalidad_H!$A$3:$A$113,0),MATCH(MIN(C718,2100),Mortalidad_H!$B$2:$BX$2,0)),INDEX(Mortalidad_M!$B$3:$BX$93,MATCH(B718,Mortalidad_M!$A$3:$A$93,0),MATCH(MIN(C718,2100),Mortalidad_M!$B$2:$BX$2,0))),1)</f>
        <v/>
      </c>
      <c r="E718" s="15">
        <f>1-(1-D718)^(1/12)</f>
        <v/>
      </c>
      <c r="F718" s="16">
        <f>F717*(1-E717)</f>
        <v/>
      </c>
      <c r="G718" s="16">
        <f>1/(1+$C$7)^(A718/12)</f>
        <v/>
      </c>
      <c r="H718" s="16">
        <f>F718*G718</f>
        <v/>
      </c>
    </row>
    <row r="719">
      <c r="A719" s="14" t="n">
        <v>707</v>
      </c>
      <c r="B719">
        <f>$C$5+INT(A719/12)</f>
        <v/>
      </c>
      <c r="C719">
        <f>Parametros!$B$5+INT(A719/12)</f>
        <v/>
      </c>
      <c r="D719" s="15">
        <f>IFERROR(IF($C$4="H",INDEX(Mortalidad_H!$B$3:$BX$113,MATCH(B719,Mortalidad_H!$A$3:$A$113,0),MATCH(MIN(C719,2100),Mortalidad_H!$B$2:$BX$2,0)),INDEX(Mortalidad_M!$B$3:$BX$93,MATCH(B719,Mortalidad_M!$A$3:$A$93,0),MATCH(MIN(C719,2100),Mortalidad_M!$B$2:$BX$2,0))),1)</f>
        <v/>
      </c>
      <c r="E719" s="15">
        <f>1-(1-D719)^(1/12)</f>
        <v/>
      </c>
      <c r="F719" s="16">
        <f>F718*(1-E718)</f>
        <v/>
      </c>
      <c r="G719" s="16">
        <f>1/(1+$C$7)^(A719/12)</f>
        <v/>
      </c>
      <c r="H719" s="16">
        <f>F719*G719</f>
        <v/>
      </c>
    </row>
    <row r="720">
      <c r="A720" s="14" t="n">
        <v>708</v>
      </c>
      <c r="B720">
        <f>$C$5+INT(A720/12)</f>
        <v/>
      </c>
      <c r="C720">
        <f>Parametros!$B$5+INT(A720/12)</f>
        <v/>
      </c>
      <c r="D720" s="15">
        <f>IFERROR(IF($C$4="H",INDEX(Mortalidad_H!$B$3:$BX$113,MATCH(B720,Mortalidad_H!$A$3:$A$113,0),MATCH(MIN(C720,2100),Mortalidad_H!$B$2:$BX$2,0)),INDEX(Mortalidad_M!$B$3:$BX$93,MATCH(B720,Mortalidad_M!$A$3:$A$93,0),MATCH(MIN(C720,2100),Mortalidad_M!$B$2:$BX$2,0))),1)</f>
        <v/>
      </c>
      <c r="E720" s="15">
        <f>1-(1-D720)^(1/12)</f>
        <v/>
      </c>
      <c r="F720" s="16">
        <f>F719*(1-E719)</f>
        <v/>
      </c>
      <c r="G720" s="16">
        <f>1/(1+$C$7)^(A720/12)</f>
        <v/>
      </c>
      <c r="H720" s="16">
        <f>F720*G720</f>
        <v/>
      </c>
    </row>
    <row r="721">
      <c r="A721" s="14" t="n">
        <v>709</v>
      </c>
      <c r="B721">
        <f>$C$5+INT(A721/12)</f>
        <v/>
      </c>
      <c r="C721">
        <f>Parametros!$B$5+INT(A721/12)</f>
        <v/>
      </c>
      <c r="D721" s="15">
        <f>IFERROR(IF($C$4="H",INDEX(Mortalidad_H!$B$3:$BX$113,MATCH(B721,Mortalidad_H!$A$3:$A$113,0),MATCH(MIN(C721,2100),Mortalidad_H!$B$2:$BX$2,0)),INDEX(Mortalidad_M!$B$3:$BX$93,MATCH(B721,Mortalidad_M!$A$3:$A$93,0),MATCH(MIN(C721,2100),Mortalidad_M!$B$2:$BX$2,0))),1)</f>
        <v/>
      </c>
      <c r="E721" s="15">
        <f>1-(1-D721)^(1/12)</f>
        <v/>
      </c>
      <c r="F721" s="16">
        <f>F720*(1-E720)</f>
        <v/>
      </c>
      <c r="G721" s="16">
        <f>1/(1+$C$7)^(A721/12)</f>
        <v/>
      </c>
      <c r="H721" s="16">
        <f>F721*G721</f>
        <v/>
      </c>
    </row>
    <row r="722">
      <c r="A722" s="14" t="n">
        <v>710</v>
      </c>
      <c r="B722">
        <f>$C$5+INT(A722/12)</f>
        <v/>
      </c>
      <c r="C722">
        <f>Parametros!$B$5+INT(A722/12)</f>
        <v/>
      </c>
      <c r="D722" s="15">
        <f>IFERROR(IF($C$4="H",INDEX(Mortalidad_H!$B$3:$BX$113,MATCH(B722,Mortalidad_H!$A$3:$A$113,0),MATCH(MIN(C722,2100),Mortalidad_H!$B$2:$BX$2,0)),INDEX(Mortalidad_M!$B$3:$BX$93,MATCH(B722,Mortalidad_M!$A$3:$A$93,0),MATCH(MIN(C722,2100),Mortalidad_M!$B$2:$BX$2,0))),1)</f>
        <v/>
      </c>
      <c r="E722" s="15">
        <f>1-(1-D722)^(1/12)</f>
        <v/>
      </c>
      <c r="F722" s="16">
        <f>F721*(1-E721)</f>
        <v/>
      </c>
      <c r="G722" s="16">
        <f>1/(1+$C$7)^(A722/12)</f>
        <v/>
      </c>
      <c r="H722" s="16">
        <f>F722*G722</f>
        <v/>
      </c>
    </row>
    <row r="723">
      <c r="A723" s="14" t="n">
        <v>711</v>
      </c>
      <c r="B723">
        <f>$C$5+INT(A723/12)</f>
        <v/>
      </c>
      <c r="C723">
        <f>Parametros!$B$5+INT(A723/12)</f>
        <v/>
      </c>
      <c r="D723" s="15">
        <f>IFERROR(IF($C$4="H",INDEX(Mortalidad_H!$B$3:$BX$113,MATCH(B723,Mortalidad_H!$A$3:$A$113,0),MATCH(MIN(C723,2100),Mortalidad_H!$B$2:$BX$2,0)),INDEX(Mortalidad_M!$B$3:$BX$93,MATCH(B723,Mortalidad_M!$A$3:$A$93,0),MATCH(MIN(C723,2100),Mortalidad_M!$B$2:$BX$2,0))),1)</f>
        <v/>
      </c>
      <c r="E723" s="15">
        <f>1-(1-D723)^(1/12)</f>
        <v/>
      </c>
      <c r="F723" s="16">
        <f>F722*(1-E722)</f>
        <v/>
      </c>
      <c r="G723" s="16">
        <f>1/(1+$C$7)^(A723/12)</f>
        <v/>
      </c>
      <c r="H723" s="16">
        <f>F723*G723</f>
        <v/>
      </c>
    </row>
    <row r="724">
      <c r="A724" s="14" t="n">
        <v>712</v>
      </c>
      <c r="B724">
        <f>$C$5+INT(A724/12)</f>
        <v/>
      </c>
      <c r="C724">
        <f>Parametros!$B$5+INT(A724/12)</f>
        <v/>
      </c>
      <c r="D724" s="15">
        <f>IFERROR(IF($C$4="H",INDEX(Mortalidad_H!$B$3:$BX$113,MATCH(B724,Mortalidad_H!$A$3:$A$113,0),MATCH(MIN(C724,2100),Mortalidad_H!$B$2:$BX$2,0)),INDEX(Mortalidad_M!$B$3:$BX$93,MATCH(B724,Mortalidad_M!$A$3:$A$93,0),MATCH(MIN(C724,2100),Mortalidad_M!$B$2:$BX$2,0))),1)</f>
        <v/>
      </c>
      <c r="E724" s="15">
        <f>1-(1-D724)^(1/12)</f>
        <v/>
      </c>
      <c r="F724" s="16">
        <f>F723*(1-E723)</f>
        <v/>
      </c>
      <c r="G724" s="16">
        <f>1/(1+$C$7)^(A724/12)</f>
        <v/>
      </c>
      <c r="H724" s="16">
        <f>F724*G724</f>
        <v/>
      </c>
    </row>
    <row r="725">
      <c r="A725" s="14" t="n">
        <v>713</v>
      </c>
      <c r="B725">
        <f>$C$5+INT(A725/12)</f>
        <v/>
      </c>
      <c r="C725">
        <f>Parametros!$B$5+INT(A725/12)</f>
        <v/>
      </c>
      <c r="D725" s="15">
        <f>IFERROR(IF($C$4="H",INDEX(Mortalidad_H!$B$3:$BX$113,MATCH(B725,Mortalidad_H!$A$3:$A$113,0),MATCH(MIN(C725,2100),Mortalidad_H!$B$2:$BX$2,0)),INDEX(Mortalidad_M!$B$3:$BX$93,MATCH(B725,Mortalidad_M!$A$3:$A$93,0),MATCH(MIN(C725,2100),Mortalidad_M!$B$2:$BX$2,0))),1)</f>
        <v/>
      </c>
      <c r="E725" s="15">
        <f>1-(1-D725)^(1/12)</f>
        <v/>
      </c>
      <c r="F725" s="16">
        <f>F724*(1-E724)</f>
        <v/>
      </c>
      <c r="G725" s="16">
        <f>1/(1+$C$7)^(A725/12)</f>
        <v/>
      </c>
      <c r="H725" s="16">
        <f>F725*G725</f>
        <v/>
      </c>
    </row>
    <row r="726">
      <c r="A726" s="14" t="n">
        <v>714</v>
      </c>
      <c r="B726">
        <f>$C$5+INT(A726/12)</f>
        <v/>
      </c>
      <c r="C726">
        <f>Parametros!$B$5+INT(A726/12)</f>
        <v/>
      </c>
      <c r="D726" s="15">
        <f>IFERROR(IF($C$4="H",INDEX(Mortalidad_H!$B$3:$BX$113,MATCH(B726,Mortalidad_H!$A$3:$A$113,0),MATCH(MIN(C726,2100),Mortalidad_H!$B$2:$BX$2,0)),INDEX(Mortalidad_M!$B$3:$BX$93,MATCH(B726,Mortalidad_M!$A$3:$A$93,0),MATCH(MIN(C726,2100),Mortalidad_M!$B$2:$BX$2,0))),1)</f>
        <v/>
      </c>
      <c r="E726" s="15">
        <f>1-(1-D726)^(1/12)</f>
        <v/>
      </c>
      <c r="F726" s="16">
        <f>F725*(1-E725)</f>
        <v/>
      </c>
      <c r="G726" s="16">
        <f>1/(1+$C$7)^(A726/12)</f>
        <v/>
      </c>
      <c r="H726" s="16">
        <f>F726*G726</f>
        <v/>
      </c>
    </row>
    <row r="727">
      <c r="A727" s="14" t="n">
        <v>715</v>
      </c>
      <c r="B727">
        <f>$C$5+INT(A727/12)</f>
        <v/>
      </c>
      <c r="C727">
        <f>Parametros!$B$5+INT(A727/12)</f>
        <v/>
      </c>
      <c r="D727" s="15">
        <f>IFERROR(IF($C$4="H",INDEX(Mortalidad_H!$B$3:$BX$113,MATCH(B727,Mortalidad_H!$A$3:$A$113,0),MATCH(MIN(C727,2100),Mortalidad_H!$B$2:$BX$2,0)),INDEX(Mortalidad_M!$B$3:$BX$93,MATCH(B727,Mortalidad_M!$A$3:$A$93,0),MATCH(MIN(C727,2100),Mortalidad_M!$B$2:$BX$2,0))),1)</f>
        <v/>
      </c>
      <c r="E727" s="15">
        <f>1-(1-D727)^(1/12)</f>
        <v/>
      </c>
      <c r="F727" s="16">
        <f>F726*(1-E726)</f>
        <v/>
      </c>
      <c r="G727" s="16">
        <f>1/(1+$C$7)^(A727/12)</f>
        <v/>
      </c>
      <c r="H727" s="16">
        <f>F727*G727</f>
        <v/>
      </c>
    </row>
    <row r="728">
      <c r="A728" s="14" t="n">
        <v>716</v>
      </c>
      <c r="B728">
        <f>$C$5+INT(A728/12)</f>
        <v/>
      </c>
      <c r="C728">
        <f>Parametros!$B$5+INT(A728/12)</f>
        <v/>
      </c>
      <c r="D728" s="15">
        <f>IFERROR(IF($C$4="H",INDEX(Mortalidad_H!$B$3:$BX$113,MATCH(B728,Mortalidad_H!$A$3:$A$113,0),MATCH(MIN(C728,2100),Mortalidad_H!$B$2:$BX$2,0)),INDEX(Mortalidad_M!$B$3:$BX$93,MATCH(B728,Mortalidad_M!$A$3:$A$93,0),MATCH(MIN(C728,2100),Mortalidad_M!$B$2:$BX$2,0))),1)</f>
        <v/>
      </c>
      <c r="E728" s="15">
        <f>1-(1-D728)^(1/12)</f>
        <v/>
      </c>
      <c r="F728" s="16">
        <f>F727*(1-E727)</f>
        <v/>
      </c>
      <c r="G728" s="16">
        <f>1/(1+$C$7)^(A728/12)</f>
        <v/>
      </c>
      <c r="H728" s="16">
        <f>F728*G728</f>
        <v/>
      </c>
    </row>
    <row r="729">
      <c r="A729" s="14" t="n">
        <v>717</v>
      </c>
      <c r="B729">
        <f>$C$5+INT(A729/12)</f>
        <v/>
      </c>
      <c r="C729">
        <f>Parametros!$B$5+INT(A729/12)</f>
        <v/>
      </c>
      <c r="D729" s="15">
        <f>IFERROR(IF($C$4="H",INDEX(Mortalidad_H!$B$3:$BX$113,MATCH(B729,Mortalidad_H!$A$3:$A$113,0),MATCH(MIN(C729,2100),Mortalidad_H!$B$2:$BX$2,0)),INDEX(Mortalidad_M!$B$3:$BX$93,MATCH(B729,Mortalidad_M!$A$3:$A$93,0),MATCH(MIN(C729,2100),Mortalidad_M!$B$2:$BX$2,0))),1)</f>
        <v/>
      </c>
      <c r="E729" s="15">
        <f>1-(1-D729)^(1/12)</f>
        <v/>
      </c>
      <c r="F729" s="16">
        <f>F728*(1-E728)</f>
        <v/>
      </c>
      <c r="G729" s="16">
        <f>1/(1+$C$7)^(A729/12)</f>
        <v/>
      </c>
      <c r="H729" s="16">
        <f>F729*G729</f>
        <v/>
      </c>
    </row>
    <row r="730">
      <c r="A730" s="14" t="n">
        <v>718</v>
      </c>
      <c r="B730">
        <f>$C$5+INT(A730/12)</f>
        <v/>
      </c>
      <c r="C730">
        <f>Parametros!$B$5+INT(A730/12)</f>
        <v/>
      </c>
      <c r="D730" s="15">
        <f>IFERROR(IF($C$4="H",INDEX(Mortalidad_H!$B$3:$BX$113,MATCH(B730,Mortalidad_H!$A$3:$A$113,0),MATCH(MIN(C730,2100),Mortalidad_H!$B$2:$BX$2,0)),INDEX(Mortalidad_M!$B$3:$BX$93,MATCH(B730,Mortalidad_M!$A$3:$A$93,0),MATCH(MIN(C730,2100),Mortalidad_M!$B$2:$BX$2,0))),1)</f>
        <v/>
      </c>
      <c r="E730" s="15">
        <f>1-(1-D730)^(1/12)</f>
        <v/>
      </c>
      <c r="F730" s="16">
        <f>F729*(1-E729)</f>
        <v/>
      </c>
      <c r="G730" s="16">
        <f>1/(1+$C$7)^(A730/12)</f>
        <v/>
      </c>
      <c r="H730" s="16">
        <f>F730*G730</f>
        <v/>
      </c>
    </row>
    <row r="731">
      <c r="A731" s="14" t="n">
        <v>719</v>
      </c>
      <c r="B731">
        <f>$C$5+INT(A731/12)</f>
        <v/>
      </c>
      <c r="C731">
        <f>Parametros!$B$5+INT(A731/12)</f>
        <v/>
      </c>
      <c r="D731" s="15">
        <f>IFERROR(IF($C$4="H",INDEX(Mortalidad_H!$B$3:$BX$113,MATCH(B731,Mortalidad_H!$A$3:$A$113,0),MATCH(MIN(C731,2100),Mortalidad_H!$B$2:$BX$2,0)),INDEX(Mortalidad_M!$B$3:$BX$93,MATCH(B731,Mortalidad_M!$A$3:$A$93,0),MATCH(MIN(C731,2100),Mortalidad_M!$B$2:$BX$2,0))),1)</f>
        <v/>
      </c>
      <c r="E731" s="15">
        <f>1-(1-D731)^(1/12)</f>
        <v/>
      </c>
      <c r="F731" s="16">
        <f>F730*(1-E730)</f>
        <v/>
      </c>
      <c r="G731" s="16">
        <f>1/(1+$C$7)^(A731/12)</f>
        <v/>
      </c>
      <c r="H731" s="16">
        <f>F731*G731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0" customWidth="1" min="3" max="3"/>
  </cols>
  <sheetData>
    <row r="1">
      <c r="A1" s="3" t="inlineStr">
        <is>
          <t>Parámetro</t>
        </is>
      </c>
      <c r="B1" s="3" t="inlineStr">
        <is>
          <t>Valor</t>
        </is>
      </c>
      <c r="C1" s="3" t="inlineStr">
        <is>
          <t>Descripción / fuente</t>
        </is>
      </c>
    </row>
    <row r="2">
      <c r="A2" s="4" t="inlineStr">
        <is>
          <t>Sexo (H/M)</t>
        </is>
      </c>
      <c r="B2" s="17" t="inlineStr">
        <is>
          <t>H</t>
        </is>
      </c>
      <c r="C2" s="4" t="inlineStr">
        <is>
          <t>H usa CB-H-2020; M usa RV-M-2020 (CMF/SP, NCG 495, 2023)</t>
        </is>
      </c>
    </row>
    <row r="3">
      <c r="A3" s="4" t="inlineStr">
        <is>
          <t>Edad al pensionarse</t>
        </is>
      </c>
      <c r="B3" s="17" t="n">
        <v>65</v>
      </c>
      <c r="C3" s="4" t="inlineStr">
        <is>
          <t>Edad legal: 65 hombres, 60 mujeres</t>
        </is>
      </c>
    </row>
    <row r="4">
      <c r="A4" s="4" t="inlineStr">
        <is>
          <t>Saldo acumulado (UF)</t>
        </is>
      </c>
      <c r="B4" s="18" t="n">
        <v>3000</v>
      </c>
      <c r="C4" s="4" t="inlineStr">
        <is>
          <t>Saldo de la cuenta individual al pensionarse</t>
        </is>
      </c>
    </row>
    <row r="5">
      <c r="A5" s="4" t="inlineStr">
        <is>
          <t>Año de cálculo</t>
        </is>
      </c>
      <c r="B5" s="17" t="n">
        <v>2026</v>
      </c>
      <c r="C5" s="4" t="inlineStr">
        <is>
          <t>Año desde el que se proyecta la mortalidad</t>
        </is>
      </c>
    </row>
    <row r="6">
      <c r="A6" s="4" t="inlineStr">
        <is>
          <t>TITRP anual</t>
        </is>
      </c>
      <c r="B6" s="19" t="n">
        <v>0.0345</v>
      </c>
      <c r="C6" s="4" t="inlineStr">
        <is>
          <t>Tasa técnica de retiro programado, vigente desde 2026-07 (Circular SP N.º 2417)</t>
        </is>
      </c>
    </row>
    <row r="7">
      <c r="A7" s="4" t="inlineStr">
        <is>
          <t>Valor UF (CLP)</t>
        </is>
      </c>
      <c r="B7" s="20" t="n">
        <v>41024.46</v>
      </c>
      <c r="C7" s="4" t="inlineStr">
        <is>
          <t>UF al 26-09-2026 (Banco Central)</t>
        </is>
      </c>
    </row>
    <row r="9">
      <c r="A9" s="2" t="inlineStr">
        <is>
          <t>Celda amarilla con texto azul = editable. Negro = fórmula. Verde = vínculo a otra hoja.</t>
        </is>
      </c>
    </row>
    <row r="11">
      <c r="A11" s="11" t="inlineStr">
        <is>
          <t>Supuestos de la simulación Monte Carlo (config.py)</t>
        </is>
      </c>
    </row>
    <row r="12">
      <c r="A12" s="4" t="inlineStr">
        <is>
          <t>n_simulaciones</t>
        </is>
      </c>
      <c r="B12" s="14" t="n">
        <v>10000</v>
      </c>
    </row>
    <row r="13">
      <c r="A13" s="4" t="inlineStr">
        <is>
          <t>semilla</t>
        </is>
      </c>
      <c r="B13" s="14" t="n">
        <v>20260927</v>
      </c>
    </row>
    <row r="14">
      <c r="A14" s="4" t="inlineStr">
        <is>
          <t>edad_inicio</t>
        </is>
      </c>
      <c r="B14" s="14" t="n">
        <v>25</v>
      </c>
    </row>
    <row r="15">
      <c r="A15" s="4" t="inlineStr">
        <is>
          <t>anio_inicio</t>
        </is>
      </c>
      <c r="B15" s="14" t="n">
        <v>2026</v>
      </c>
    </row>
    <row r="16">
      <c r="A16" s="4" t="inlineStr">
        <is>
          <t>sueldo_inicial_uf</t>
        </is>
      </c>
      <c r="B16" s="14" t="n">
        <v>25</v>
      </c>
    </row>
    <row r="17">
      <c r="A17" s="4" t="inlineStr">
        <is>
          <t>crecimiento_real_sueldo</t>
        </is>
      </c>
      <c r="B17" s="14" t="n">
        <v>0.015</v>
      </c>
    </row>
    <row r="18">
      <c r="A18" s="4" t="inlineStr">
        <is>
          <t>edad_fin_crecimiento</t>
        </is>
      </c>
      <c r="B18" s="14" t="n">
        <v>50</v>
      </c>
    </row>
    <row r="19">
      <c r="A19" s="4" t="inlineStr">
        <is>
          <t>tasa_cotizacion</t>
        </is>
      </c>
      <c r="B19" s="14" t="n">
        <v>0.1</v>
      </c>
    </row>
    <row r="20">
      <c r="A20" s="4" t="inlineStr">
        <is>
          <t>densidad_cotizacion</t>
        </is>
      </c>
      <c r="B20" s="14" t="n">
        <v>0.6</v>
      </c>
    </row>
    <row r="21">
      <c r="A21" s="4" t="inlineStr">
        <is>
          <t>ajuste_retorno_anual</t>
        </is>
      </c>
      <c r="B21" s="14" t="n">
        <v>0</v>
      </c>
    </row>
    <row r="22">
      <c r="A22" s="4" t="inlineStr">
        <is>
          <t>tasa_reemplazo_meta</t>
        </is>
      </c>
      <c r="B22" s="14" t="n">
        <v>0.4</v>
      </c>
    </row>
  </sheetData>
  <dataValidations count="1">
    <dataValidation sqref="B2" showDropDown="0" showInputMessage="0" showErrorMessage="0" allowBlank="0" type="list">
      <formula1>"H,M"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qx proyectado = qx_2020 × Π(1 − AA x,t), tabla CB-H-2020. Filas: edad; columnas: año. Desde 2036 el factor AA se mantiene constante.</t>
        </is>
      </c>
    </row>
    <row r="2">
      <c r="A2" s="11" t="inlineStr">
        <is>
          <t>Edad</t>
        </is>
      </c>
      <c r="B2" s="11" t="n">
        <v>2026</v>
      </c>
      <c r="C2" s="11" t="n">
        <v>2027</v>
      </c>
      <c r="D2" s="11" t="n">
        <v>2028</v>
      </c>
      <c r="E2" s="11" t="n">
        <v>2029</v>
      </c>
      <c r="F2" s="11" t="n">
        <v>2030</v>
      </c>
      <c r="G2" s="11" t="n">
        <v>2031</v>
      </c>
      <c r="H2" s="11" t="n">
        <v>2032</v>
      </c>
      <c r="I2" s="11" t="n">
        <v>2033</v>
      </c>
      <c r="J2" s="11" t="n">
        <v>2034</v>
      </c>
      <c r="K2" s="11" t="n">
        <v>2035</v>
      </c>
      <c r="L2" s="11" t="n">
        <v>2036</v>
      </c>
      <c r="M2" s="11" t="n">
        <v>2037</v>
      </c>
      <c r="N2" s="11" t="n">
        <v>2038</v>
      </c>
      <c r="O2" s="11" t="n">
        <v>2039</v>
      </c>
      <c r="P2" s="11" t="n">
        <v>2040</v>
      </c>
      <c r="Q2" s="11" t="n">
        <v>2041</v>
      </c>
      <c r="R2" s="11" t="n">
        <v>2042</v>
      </c>
      <c r="S2" s="11" t="n">
        <v>2043</v>
      </c>
      <c r="T2" s="11" t="n">
        <v>2044</v>
      </c>
      <c r="U2" s="11" t="n">
        <v>2045</v>
      </c>
      <c r="V2" s="11" t="n">
        <v>2046</v>
      </c>
      <c r="W2" s="11" t="n">
        <v>2047</v>
      </c>
      <c r="X2" s="11" t="n">
        <v>2048</v>
      </c>
      <c r="Y2" s="11" t="n">
        <v>2049</v>
      </c>
      <c r="Z2" s="11" t="n">
        <v>2050</v>
      </c>
      <c r="AA2" s="11" t="n">
        <v>2051</v>
      </c>
      <c r="AB2" s="11" t="n">
        <v>2052</v>
      </c>
      <c r="AC2" s="11" t="n">
        <v>2053</v>
      </c>
      <c r="AD2" s="11" t="n">
        <v>2054</v>
      </c>
      <c r="AE2" s="11" t="n">
        <v>2055</v>
      </c>
      <c r="AF2" s="11" t="n">
        <v>2056</v>
      </c>
      <c r="AG2" s="11" t="n">
        <v>2057</v>
      </c>
      <c r="AH2" s="11" t="n">
        <v>2058</v>
      </c>
      <c r="AI2" s="11" t="n">
        <v>2059</v>
      </c>
      <c r="AJ2" s="11" t="n">
        <v>2060</v>
      </c>
      <c r="AK2" s="11" t="n">
        <v>2061</v>
      </c>
      <c r="AL2" s="11" t="n">
        <v>2062</v>
      </c>
      <c r="AM2" s="11" t="n">
        <v>2063</v>
      </c>
      <c r="AN2" s="11" t="n">
        <v>2064</v>
      </c>
      <c r="AO2" s="11" t="n">
        <v>2065</v>
      </c>
      <c r="AP2" s="11" t="n">
        <v>2066</v>
      </c>
      <c r="AQ2" s="11" t="n">
        <v>2067</v>
      </c>
      <c r="AR2" s="11" t="n">
        <v>2068</v>
      </c>
      <c r="AS2" s="11" t="n">
        <v>2069</v>
      </c>
      <c r="AT2" s="11" t="n">
        <v>2070</v>
      </c>
      <c r="AU2" s="11" t="n">
        <v>2071</v>
      </c>
      <c r="AV2" s="11" t="n">
        <v>2072</v>
      </c>
      <c r="AW2" s="11" t="n">
        <v>2073</v>
      </c>
      <c r="AX2" s="11" t="n">
        <v>2074</v>
      </c>
      <c r="AY2" s="11" t="n">
        <v>2075</v>
      </c>
      <c r="AZ2" s="11" t="n">
        <v>2076</v>
      </c>
      <c r="BA2" s="11" t="n">
        <v>2077</v>
      </c>
      <c r="BB2" s="11" t="n">
        <v>2078</v>
      </c>
      <c r="BC2" s="11" t="n">
        <v>2079</v>
      </c>
      <c r="BD2" s="11" t="n">
        <v>2080</v>
      </c>
      <c r="BE2" s="11" t="n">
        <v>2081</v>
      </c>
      <c r="BF2" s="11" t="n">
        <v>2082</v>
      </c>
      <c r="BG2" s="11" t="n">
        <v>2083</v>
      </c>
      <c r="BH2" s="11" t="n">
        <v>2084</v>
      </c>
      <c r="BI2" s="11" t="n">
        <v>2085</v>
      </c>
      <c r="BJ2" s="11" t="n">
        <v>2086</v>
      </c>
      <c r="BK2" s="11" t="n">
        <v>2087</v>
      </c>
      <c r="BL2" s="11" t="n">
        <v>2088</v>
      </c>
      <c r="BM2" s="11" t="n">
        <v>2089</v>
      </c>
      <c r="BN2" s="11" t="n">
        <v>2090</v>
      </c>
      <c r="BO2" s="11" t="n">
        <v>2091</v>
      </c>
      <c r="BP2" s="11" t="n">
        <v>2092</v>
      </c>
      <c r="BQ2" s="11" t="n">
        <v>2093</v>
      </c>
      <c r="BR2" s="11" t="n">
        <v>2094</v>
      </c>
      <c r="BS2" s="11" t="n">
        <v>2095</v>
      </c>
      <c r="BT2" s="11" t="n">
        <v>2096</v>
      </c>
      <c r="BU2" s="11" t="n">
        <v>2097</v>
      </c>
      <c r="BV2" s="11" t="n">
        <v>2098</v>
      </c>
      <c r="BW2" s="11" t="n">
        <v>2099</v>
      </c>
      <c r="BX2" s="11" t="n">
        <v>2100</v>
      </c>
    </row>
    <row r="3">
      <c r="A3" t="n">
        <v>0</v>
      </c>
      <c r="B3" s="15" t="n">
        <v>0.00500701</v>
      </c>
      <c r="C3" s="15" t="n">
        <v>0.00488222</v>
      </c>
      <c r="D3" s="15" t="n">
        <v>0.00477307</v>
      </c>
      <c r="E3" s="15" t="n">
        <v>0.00467813</v>
      </c>
      <c r="F3" s="15" t="n">
        <v>0.00459587</v>
      </c>
      <c r="G3" s="15" t="n">
        <v>0.0045247</v>
      </c>
      <c r="H3" s="15" t="n">
        <v>0.00446293</v>
      </c>
      <c r="I3" s="15" t="n">
        <v>0.00440878</v>
      </c>
      <c r="J3" s="15" t="n">
        <v>0.00436035</v>
      </c>
      <c r="K3" s="15" t="n">
        <v>0.00431564</v>
      </c>
      <c r="L3" s="15" t="n">
        <v>0.00427248</v>
      </c>
      <c r="M3" s="15" t="n">
        <v>0.00422976</v>
      </c>
      <c r="N3" s="15" t="n">
        <v>0.00418746</v>
      </c>
      <c r="O3" s="15" t="n">
        <v>0.00414559</v>
      </c>
      <c r="P3" s="15" t="n">
        <v>0.00410413</v>
      </c>
      <c r="Q3" s="15" t="n">
        <v>0.00406309</v>
      </c>
      <c r="R3" s="15" t="n">
        <v>0.00402246</v>
      </c>
      <c r="S3" s="15" t="n">
        <v>0.00398223</v>
      </c>
      <c r="T3" s="15" t="n">
        <v>0.00394241</v>
      </c>
      <c r="U3" s="15" t="n">
        <v>0.00390299</v>
      </c>
      <c r="V3" s="15" t="n">
        <v>0.00386396</v>
      </c>
      <c r="W3" s="15" t="n">
        <v>0.00382532</v>
      </c>
      <c r="X3" s="15" t="n">
        <v>0.00378706</v>
      </c>
      <c r="Y3" s="15" t="n">
        <v>0.00374919</v>
      </c>
      <c r="Z3" s="15" t="n">
        <v>0.0037117</v>
      </c>
      <c r="AA3" s="15" t="n">
        <v>0.00367458</v>
      </c>
      <c r="AB3" s="15" t="n">
        <v>0.00363784</v>
      </c>
      <c r="AC3" s="15" t="n">
        <v>0.00360146</v>
      </c>
      <c r="AD3" s="15" t="n">
        <v>0.00356545</v>
      </c>
      <c r="AE3" s="15" t="n">
        <v>0.00352979</v>
      </c>
      <c r="AF3" s="15" t="n">
        <v>0.00349449</v>
      </c>
      <c r="AG3" s="15" t="n">
        <v>0.00345955</v>
      </c>
      <c r="AH3" s="15" t="n">
        <v>0.00342495</v>
      </c>
      <c r="AI3" s="15" t="n">
        <v>0.0033907</v>
      </c>
      <c r="AJ3" s="15" t="n">
        <v>0.0033568</v>
      </c>
      <c r="AK3" s="15" t="n">
        <v>0.00332323</v>
      </c>
      <c r="AL3" s="15" t="n">
        <v>0.00329</v>
      </c>
      <c r="AM3" s="15" t="n">
        <v>0.0032571</v>
      </c>
      <c r="AN3" s="15" t="n">
        <v>0.00322452</v>
      </c>
      <c r="AO3" s="15" t="n">
        <v>0.00319228</v>
      </c>
      <c r="AP3" s="15" t="n">
        <v>0.00316036</v>
      </c>
      <c r="AQ3" s="15" t="n">
        <v>0.00312875</v>
      </c>
      <c r="AR3" s="15" t="n">
        <v>0.00309747</v>
      </c>
      <c r="AS3" s="15" t="n">
        <v>0.00306649</v>
      </c>
      <c r="AT3" s="15" t="n">
        <v>0.00303583</v>
      </c>
      <c r="AU3" s="15" t="n">
        <v>0.00300547</v>
      </c>
      <c r="AV3" s="15" t="n">
        <v>0.00297541</v>
      </c>
      <c r="AW3" s="15" t="n">
        <v>0.00294566</v>
      </c>
      <c r="AX3" s="15" t="n">
        <v>0.0029162</v>
      </c>
      <c r="AY3" s="15" t="n">
        <v>0.00288704</v>
      </c>
      <c r="AZ3" s="15" t="n">
        <v>0.00285817</v>
      </c>
      <c r="BA3" s="15" t="n">
        <v>0.00282959</v>
      </c>
      <c r="BB3" s="15" t="n">
        <v>0.00280129</v>
      </c>
      <c r="BC3" s="15" t="n">
        <v>0.00277328</v>
      </c>
      <c r="BD3" s="15" t="n">
        <v>0.00274555</v>
      </c>
      <c r="BE3" s="15" t="n">
        <v>0.00271809</v>
      </c>
      <c r="BF3" s="15" t="n">
        <v>0.00269091</v>
      </c>
      <c r="BG3" s="15" t="n">
        <v>0.002664</v>
      </c>
      <c r="BH3" s="15" t="n">
        <v>0.00263736</v>
      </c>
      <c r="BI3" s="15" t="n">
        <v>0.00261099</v>
      </c>
      <c r="BJ3" s="15" t="n">
        <v>0.00258488</v>
      </c>
      <c r="BK3" s="15" t="n">
        <v>0.00255903</v>
      </c>
      <c r="BL3" s="15" t="n">
        <v>0.00253344</v>
      </c>
      <c r="BM3" s="15" t="n">
        <v>0.0025081</v>
      </c>
      <c r="BN3" s="15" t="n">
        <v>0.00248302</v>
      </c>
      <c r="BO3" s="15" t="n">
        <v>0.00245819</v>
      </c>
      <c r="BP3" s="15" t="n">
        <v>0.00243361</v>
      </c>
      <c r="BQ3" s="15" t="n">
        <v>0.00240928</v>
      </c>
      <c r="BR3" s="15" t="n">
        <v>0.00238518</v>
      </c>
      <c r="BS3" s="15" t="n">
        <v>0.00236133</v>
      </c>
      <c r="BT3" s="15" t="n">
        <v>0.00233772</v>
      </c>
      <c r="BU3" s="15" t="n">
        <v>0.00231434</v>
      </c>
      <c r="BV3" s="15" t="n">
        <v>0.0022912</v>
      </c>
      <c r="BW3" s="15" t="n">
        <v>0.00226828</v>
      </c>
      <c r="BX3" s="15" t="n">
        <v>0.0022456</v>
      </c>
    </row>
    <row r="4">
      <c r="A4" t="n">
        <v>1</v>
      </c>
      <c r="B4" s="15" t="n">
        <v>0.00026952</v>
      </c>
      <c r="C4" s="15" t="n">
        <v>0.00026286</v>
      </c>
      <c r="D4" s="15" t="n">
        <v>0.00025702</v>
      </c>
      <c r="E4" s="15" t="n">
        <v>0.00025194</v>
      </c>
      <c r="F4" s="15" t="n">
        <v>0.00024754</v>
      </c>
      <c r="G4" s="15" t="n">
        <v>0.00024372</v>
      </c>
      <c r="H4" s="15" t="n">
        <v>0.00024041</v>
      </c>
      <c r="I4" s="15" t="n">
        <v>0.0002375</v>
      </c>
      <c r="J4" s="15" t="n">
        <v>0.00023489</v>
      </c>
      <c r="K4" s="15" t="n">
        <v>0.00023249</v>
      </c>
      <c r="L4" s="15" t="n">
        <v>0.00023016</v>
      </c>
      <c r="M4" s="15" t="n">
        <v>0.00022786</v>
      </c>
      <c r="N4" s="15" t="n">
        <v>0.00022558</v>
      </c>
      <c r="O4" s="15" t="n">
        <v>0.00022333</v>
      </c>
      <c r="P4" s="15" t="n">
        <v>0.00022109</v>
      </c>
      <c r="Q4" s="15" t="n">
        <v>0.00021888</v>
      </c>
      <c r="R4" s="15" t="n">
        <v>0.00021669</v>
      </c>
      <c r="S4" s="15" t="n">
        <v>0.00021453</v>
      </c>
      <c r="T4" s="15" t="n">
        <v>0.00021238</v>
      </c>
      <c r="U4" s="15" t="n">
        <v>0.00021026</v>
      </c>
      <c r="V4" s="15" t="n">
        <v>0.00020815</v>
      </c>
      <c r="W4" s="15" t="n">
        <v>0.00020607</v>
      </c>
      <c r="X4" s="15" t="n">
        <v>0.00020401</v>
      </c>
      <c r="Y4" s="15" t="n">
        <v>0.00020197</v>
      </c>
      <c r="Z4" s="15" t="n">
        <v>0.00019995</v>
      </c>
      <c r="AA4" s="15" t="n">
        <v>0.00019795</v>
      </c>
      <c r="AB4" s="15" t="n">
        <v>0.00019597</v>
      </c>
      <c r="AC4" s="15" t="n">
        <v>0.00019401</v>
      </c>
      <c r="AD4" s="15" t="n">
        <v>0.00019207</v>
      </c>
      <c r="AE4" s="15" t="n">
        <v>0.00019015</v>
      </c>
      <c r="AF4" s="15" t="n">
        <v>0.00018825</v>
      </c>
      <c r="AG4" s="15" t="n">
        <v>0.00018637</v>
      </c>
      <c r="AH4" s="15" t="n">
        <v>0.0001845</v>
      </c>
      <c r="AI4" s="15" t="n">
        <v>0.00018266</v>
      </c>
      <c r="AJ4" s="15" t="n">
        <v>0.00018083</v>
      </c>
      <c r="AK4" s="15" t="n">
        <v>0.00017902</v>
      </c>
      <c r="AL4" s="15" t="n">
        <v>0.00017723</v>
      </c>
      <c r="AM4" s="15" t="n">
        <v>0.00017546</v>
      </c>
      <c r="AN4" s="15" t="n">
        <v>0.00017371</v>
      </c>
      <c r="AO4" s="15" t="n">
        <v>0.00017197</v>
      </c>
      <c r="AP4" s="15" t="n">
        <v>0.00017025</v>
      </c>
      <c r="AQ4" s="15" t="n">
        <v>0.00016855</v>
      </c>
      <c r="AR4" s="15" t="n">
        <v>0.00016686</v>
      </c>
      <c r="AS4" s="15" t="n">
        <v>0.00016519</v>
      </c>
      <c r="AT4" s="15" t="n">
        <v>0.00016354</v>
      </c>
      <c r="AU4" s="15" t="n">
        <v>0.00016191</v>
      </c>
      <c r="AV4" s="15" t="n">
        <v>0.00016029</v>
      </c>
      <c r="AW4" s="15" t="n">
        <v>0.00015868</v>
      </c>
      <c r="AX4" s="15" t="n">
        <v>0.0001571</v>
      </c>
      <c r="AY4" s="15" t="n">
        <v>0.00015553</v>
      </c>
      <c r="AZ4" s="15" t="n">
        <v>0.00015397</v>
      </c>
      <c r="BA4" s="15" t="n">
        <v>0.00015243</v>
      </c>
      <c r="BB4" s="15" t="n">
        <v>0.00015091</v>
      </c>
      <c r="BC4" s="15" t="n">
        <v>0.0001494</v>
      </c>
      <c r="BD4" s="15" t="n">
        <v>0.0001479</v>
      </c>
      <c r="BE4" s="15" t="n">
        <v>0.00014643</v>
      </c>
      <c r="BF4" s="15" t="n">
        <v>0.00014496</v>
      </c>
      <c r="BG4" s="15" t="n">
        <v>0.00014351</v>
      </c>
      <c r="BH4" s="15" t="n">
        <v>0.00014208</v>
      </c>
      <c r="BI4" s="15" t="n">
        <v>0.00014066</v>
      </c>
      <c r="BJ4" s="15" t="n">
        <v>0.00013925</v>
      </c>
      <c r="BK4" s="15" t="n">
        <v>0.00013786</v>
      </c>
      <c r="BL4" s="15" t="n">
        <v>0.00013648</v>
      </c>
      <c r="BM4" s="15" t="n">
        <v>0.00013511</v>
      </c>
      <c r="BN4" s="15" t="n">
        <v>0.00013376</v>
      </c>
      <c r="BO4" s="15" t="n">
        <v>0.00013242</v>
      </c>
      <c r="BP4" s="15" t="n">
        <v>0.0001311</v>
      </c>
      <c r="BQ4" s="15" t="n">
        <v>0.00012979</v>
      </c>
      <c r="BR4" s="15" t="n">
        <v>0.00012849</v>
      </c>
      <c r="BS4" s="15" t="n">
        <v>0.00012721</v>
      </c>
      <c r="BT4" s="15" t="n">
        <v>0.00012593</v>
      </c>
      <c r="BU4" s="15" t="n">
        <v>0.00012467</v>
      </c>
      <c r="BV4" s="15" t="n">
        <v>0.00012343</v>
      </c>
      <c r="BW4" s="15" t="n">
        <v>0.00012219</v>
      </c>
      <c r="BX4" s="15" t="n">
        <v>0.00012097</v>
      </c>
    </row>
    <row r="5">
      <c r="A5" t="n">
        <v>2</v>
      </c>
      <c r="B5" s="15" t="n">
        <v>0.0001637</v>
      </c>
      <c r="C5" s="15" t="n">
        <v>0.0001597</v>
      </c>
      <c r="D5" s="15" t="n">
        <v>0.00015619</v>
      </c>
      <c r="E5" s="15" t="n">
        <v>0.00015313</v>
      </c>
      <c r="F5" s="15" t="n">
        <v>0.00015047</v>
      </c>
      <c r="G5" s="15" t="n">
        <v>0.00014817</v>
      </c>
      <c r="H5" s="15" t="n">
        <v>0.00014616</v>
      </c>
      <c r="I5" s="15" t="n">
        <v>0.0001444</v>
      </c>
      <c r="J5" s="15" t="n">
        <v>0.00014282</v>
      </c>
      <c r="K5" s="15" t="n">
        <v>0.00014135</v>
      </c>
      <c r="L5" s="15" t="n">
        <v>0.00013994</v>
      </c>
      <c r="M5" s="15" t="n">
        <v>0.00013854</v>
      </c>
      <c r="N5" s="15" t="n">
        <v>0.00013715</v>
      </c>
      <c r="O5" s="15" t="n">
        <v>0.00013578</v>
      </c>
      <c r="P5" s="15" t="n">
        <v>0.00013442</v>
      </c>
      <c r="Q5" s="15" t="n">
        <v>0.00013308</v>
      </c>
      <c r="R5" s="15" t="n">
        <v>0.00013175</v>
      </c>
      <c r="S5" s="15" t="n">
        <v>0.00013043</v>
      </c>
      <c r="T5" s="15" t="n">
        <v>0.00012913</v>
      </c>
      <c r="U5" s="15" t="n">
        <v>0.00012784</v>
      </c>
      <c r="V5" s="15" t="n">
        <v>0.00012656</v>
      </c>
      <c r="W5" s="15" t="n">
        <v>0.00012529</v>
      </c>
      <c r="X5" s="15" t="n">
        <v>0.00012404</v>
      </c>
      <c r="Y5" s="15" t="n">
        <v>0.0001228</v>
      </c>
      <c r="Z5" s="15" t="n">
        <v>0.00012157</v>
      </c>
      <c r="AA5" s="15" t="n">
        <v>0.00012036</v>
      </c>
      <c r="AB5" s="15" t="n">
        <v>0.00011915</v>
      </c>
      <c r="AC5" s="15" t="n">
        <v>0.00011796</v>
      </c>
      <c r="AD5" s="15" t="n">
        <v>0.00011678</v>
      </c>
      <c r="AE5" s="15" t="n">
        <v>0.00011561</v>
      </c>
      <c r="AF5" s="15" t="n">
        <v>0.00011446</v>
      </c>
      <c r="AG5" s="15" t="n">
        <v>0.00011331</v>
      </c>
      <c r="AH5" s="15" t="n">
        <v>0.00011218</v>
      </c>
      <c r="AI5" s="15" t="n">
        <v>0.00011106</v>
      </c>
      <c r="AJ5" s="15" t="n">
        <v>0.00010995</v>
      </c>
      <c r="AK5" s="15" t="n">
        <v>0.00010885</v>
      </c>
      <c r="AL5" s="15" t="n">
        <v>0.00010776</v>
      </c>
      <c r="AM5" s="15" t="n">
        <v>0.00010668</v>
      </c>
      <c r="AN5" s="15" t="n">
        <v>0.00010561</v>
      </c>
      <c r="AO5" s="15" t="n">
        <v>0.00010456</v>
      </c>
      <c r="AP5" s="15" t="n">
        <v>0.00010351</v>
      </c>
      <c r="AQ5" s="15" t="n">
        <v>0.00010248</v>
      </c>
      <c r="AR5" s="15" t="n">
        <v>0.00010145</v>
      </c>
      <c r="AS5" s="15" t="n">
        <v>0.00010044</v>
      </c>
      <c r="AT5" s="15" t="n">
        <v>9.943e-05</v>
      </c>
      <c r="AU5" s="15" t="n">
        <v>9.844e-05</v>
      </c>
      <c r="AV5" s="15" t="n">
        <v>9.746000000000001e-05</v>
      </c>
      <c r="AW5" s="15" t="n">
        <v>9.648e-05</v>
      </c>
      <c r="AX5" s="15" t="n">
        <v>9.551999999999999e-05</v>
      </c>
      <c r="AY5" s="15" t="n">
        <v>9.456e-05</v>
      </c>
      <c r="AZ5" s="15" t="n">
        <v>9.362e-05</v>
      </c>
      <c r="BA5" s="15" t="n">
        <v>9.268e-05</v>
      </c>
      <c r="BB5" s="15" t="n">
        <v>9.174999999999999e-05</v>
      </c>
      <c r="BC5" s="15" t="n">
        <v>9.083e-05</v>
      </c>
      <c r="BD5" s="15" t="n">
        <v>8.993e-05</v>
      </c>
      <c r="BE5" s="15" t="n">
        <v>8.903000000000001e-05</v>
      </c>
      <c r="BF5" s="15" t="n">
        <v>8.814000000000001e-05</v>
      </c>
      <c r="BG5" s="15" t="n">
        <v>8.726e-05</v>
      </c>
      <c r="BH5" s="15" t="n">
        <v>8.638e-05</v>
      </c>
      <c r="BI5" s="15" t="n">
        <v>8.551999999999999e-05</v>
      </c>
      <c r="BJ5" s="15" t="n">
        <v>8.466000000000001e-05</v>
      </c>
      <c r="BK5" s="15" t="n">
        <v>8.381999999999999e-05</v>
      </c>
      <c r="BL5" s="15" t="n">
        <v>8.297999999999999e-05</v>
      </c>
      <c r="BM5" s="15" t="n">
        <v>8.215e-05</v>
      </c>
      <c r="BN5" s="15" t="n">
        <v>8.133e-05</v>
      </c>
      <c r="BO5" s="15" t="n">
        <v>8.051e-05</v>
      </c>
      <c r="BP5" s="15" t="n">
        <v>7.970999999999999e-05</v>
      </c>
      <c r="BQ5" s="15" t="n">
        <v>7.891e-05</v>
      </c>
      <c r="BR5" s="15" t="n">
        <v>7.812e-05</v>
      </c>
      <c r="BS5" s="15" t="n">
        <v>7.734e-05</v>
      </c>
      <c r="BT5" s="15" t="n">
        <v>7.656999999999999e-05</v>
      </c>
      <c r="BU5" s="15" t="n">
        <v>7.58e-05</v>
      </c>
      <c r="BV5" s="15" t="n">
        <v>7.504e-05</v>
      </c>
      <c r="BW5" s="15" t="n">
        <v>7.429e-05</v>
      </c>
      <c r="BX5" s="15" t="n">
        <v>7.355e-05</v>
      </c>
    </row>
    <row r="6">
      <c r="A6" t="n">
        <v>3</v>
      </c>
      <c r="B6" s="15" t="n">
        <v>0.00013387</v>
      </c>
      <c r="C6" s="15" t="n">
        <v>0.00013064</v>
      </c>
      <c r="D6" s="15" t="n">
        <v>0.00012781</v>
      </c>
      <c r="E6" s="15" t="n">
        <v>0.00012534</v>
      </c>
      <c r="F6" s="15" t="n">
        <v>0.00012318</v>
      </c>
      <c r="G6" s="15" t="n">
        <v>0.00012131</v>
      </c>
      <c r="H6" s="15" t="n">
        <v>0.00011968</v>
      </c>
      <c r="I6" s="15" t="n">
        <v>0.00011824</v>
      </c>
      <c r="J6" s="15" t="n">
        <v>0.00011695</v>
      </c>
      <c r="K6" s="15" t="n">
        <v>0.00011575</v>
      </c>
      <c r="L6" s="15" t="n">
        <v>0.00011459</v>
      </c>
      <c r="M6" s="15" t="n">
        <v>0.00011345</v>
      </c>
      <c r="N6" s="15" t="n">
        <v>0.00011231</v>
      </c>
      <c r="O6" s="15" t="n">
        <v>0.00011119</v>
      </c>
      <c r="P6" s="15" t="n">
        <v>0.00011008</v>
      </c>
      <c r="Q6" s="15" t="n">
        <v>0.00010898</v>
      </c>
      <c r="R6" s="15" t="n">
        <v>0.00010789</v>
      </c>
      <c r="S6" s="15" t="n">
        <v>0.00010681</v>
      </c>
      <c r="T6" s="15" t="n">
        <v>0.00010574</v>
      </c>
      <c r="U6" s="15" t="n">
        <v>0.00010468</v>
      </c>
      <c r="V6" s="15" t="n">
        <v>0.00010364</v>
      </c>
      <c r="W6" s="15" t="n">
        <v>0.0001026</v>
      </c>
      <c r="X6" s="15" t="n">
        <v>0.00010157</v>
      </c>
      <c r="Y6" s="15" t="n">
        <v>0.00010056</v>
      </c>
      <c r="Z6" s="15" t="n">
        <v>9.954999999999999e-05</v>
      </c>
      <c r="AA6" s="15" t="n">
        <v>9.856000000000001e-05</v>
      </c>
      <c r="AB6" s="15" t="n">
        <v>9.757e-05</v>
      </c>
      <c r="AC6" s="15" t="n">
        <v>9.659e-05</v>
      </c>
      <c r="AD6" s="15" t="n">
        <v>9.563e-05</v>
      </c>
      <c r="AE6" s="15" t="n">
        <v>9.467e-05</v>
      </c>
      <c r="AF6" s="15" t="n">
        <v>9.373e-05</v>
      </c>
      <c r="AG6" s="15" t="n">
        <v>9.279e-05</v>
      </c>
      <c r="AH6" s="15" t="n">
        <v>9.186e-05</v>
      </c>
      <c r="AI6" s="15" t="n">
        <v>9.093999999999999e-05</v>
      </c>
      <c r="AJ6" s="15" t="n">
        <v>9.003e-05</v>
      </c>
      <c r="AK6" s="15" t="n">
        <v>8.913e-05</v>
      </c>
      <c r="AL6" s="15" t="n">
        <v>8.824e-05</v>
      </c>
      <c r="AM6" s="15" t="n">
        <v>8.736e-05</v>
      </c>
      <c r="AN6" s="15" t="n">
        <v>8.648e-05</v>
      </c>
      <c r="AO6" s="15" t="n">
        <v>8.562e-05</v>
      </c>
      <c r="AP6" s="15" t="n">
        <v>8.475999999999999e-05</v>
      </c>
      <c r="AQ6" s="15" t="n">
        <v>8.392e-05</v>
      </c>
      <c r="AR6" s="15" t="n">
        <v>8.308e-05</v>
      </c>
      <c r="AS6" s="15" t="n">
        <v>8.224999999999999e-05</v>
      </c>
      <c r="AT6" s="15" t="n">
        <v>8.142e-05</v>
      </c>
      <c r="AU6" s="15" t="n">
        <v>8.061e-05</v>
      </c>
      <c r="AV6" s="15" t="n">
        <v>7.98e-05</v>
      </c>
      <c r="AW6" s="15" t="n">
        <v>7.901e-05</v>
      </c>
      <c r="AX6" s="15" t="n">
        <v>7.822000000000001e-05</v>
      </c>
      <c r="AY6" s="15" t="n">
        <v>7.743e-05</v>
      </c>
      <c r="AZ6" s="15" t="n">
        <v>7.666e-05</v>
      </c>
      <c r="BA6" s="15" t="n">
        <v>7.588999999999999e-05</v>
      </c>
      <c r="BB6" s="15" t="n">
        <v>7.512999999999999e-05</v>
      </c>
      <c r="BC6" s="15" t="n">
        <v>7.438e-05</v>
      </c>
      <c r="BD6" s="15" t="n">
        <v>7.364000000000001e-05</v>
      </c>
      <c r="BE6" s="15" t="n">
        <v>7.29e-05</v>
      </c>
      <c r="BF6" s="15" t="n">
        <v>7.217e-05</v>
      </c>
      <c r="BG6" s="15" t="n">
        <v>7.145e-05</v>
      </c>
      <c r="BH6" s="15" t="n">
        <v>7.074e-05</v>
      </c>
      <c r="BI6" s="15" t="n">
        <v>7.003000000000001e-05</v>
      </c>
      <c r="BJ6" s="15" t="n">
        <v>6.933e-05</v>
      </c>
      <c r="BK6" s="15" t="n">
        <v>6.863999999999999e-05</v>
      </c>
      <c r="BL6" s="15" t="n">
        <v>6.795e-05</v>
      </c>
      <c r="BM6" s="15" t="n">
        <v>6.727e-05</v>
      </c>
      <c r="BN6" s="15" t="n">
        <v>6.660000000000001e-05</v>
      </c>
      <c r="BO6" s="15" t="n">
        <v>6.593e-05</v>
      </c>
      <c r="BP6" s="15" t="n">
        <v>6.527e-05</v>
      </c>
      <c r="BQ6" s="15" t="n">
        <v>6.462e-05</v>
      </c>
      <c r="BR6" s="15" t="n">
        <v>6.397e-05</v>
      </c>
      <c r="BS6" s="15" t="n">
        <v>6.333000000000001e-05</v>
      </c>
      <c r="BT6" s="15" t="n">
        <v>6.270000000000001e-05</v>
      </c>
      <c r="BU6" s="15" t="n">
        <v>6.206999999999999e-05</v>
      </c>
      <c r="BV6" s="15" t="n">
        <v>6.145e-05</v>
      </c>
      <c r="BW6" s="15" t="n">
        <v>6.084e-05</v>
      </c>
      <c r="BX6" s="15" t="n">
        <v>6.023e-05</v>
      </c>
    </row>
    <row r="7">
      <c r="A7" t="n">
        <v>4</v>
      </c>
      <c r="B7" s="15" t="n">
        <v>0.00011411</v>
      </c>
      <c r="C7" s="15" t="n">
        <v>0.0001114</v>
      </c>
      <c r="D7" s="15" t="n">
        <v>0.00010902</v>
      </c>
      <c r="E7" s="15" t="n">
        <v>0.00010694</v>
      </c>
      <c r="F7" s="15" t="n">
        <v>0.00010513</v>
      </c>
      <c r="G7" s="15" t="n">
        <v>0.00010355</v>
      </c>
      <c r="H7" s="15" t="n">
        <v>0.00010216</v>
      </c>
      <c r="I7" s="15" t="n">
        <v>0.00010094</v>
      </c>
      <c r="J7" s="15" t="n">
        <v>9.984000000000001e-05</v>
      </c>
      <c r="K7" s="15" t="n">
        <v>9.882000000000001e-05</v>
      </c>
      <c r="L7" s="15" t="n">
        <v>9.783e-05</v>
      </c>
      <c r="M7" s="15" t="n">
        <v>9.685e-05</v>
      </c>
      <c r="N7" s="15" t="n">
        <v>9.588e-05</v>
      </c>
      <c r="O7" s="15" t="n">
        <v>9.493e-05</v>
      </c>
      <c r="P7" s="15" t="n">
        <v>9.398e-05</v>
      </c>
      <c r="Q7" s="15" t="n">
        <v>9.304e-05</v>
      </c>
      <c r="R7" s="15" t="n">
        <v>9.211e-05</v>
      </c>
      <c r="S7" s="15" t="n">
        <v>9.119e-05</v>
      </c>
      <c r="T7" s="15" t="n">
        <v>9.027e-05</v>
      </c>
      <c r="U7" s="15" t="n">
        <v>8.937000000000001e-05</v>
      </c>
      <c r="V7" s="15" t="n">
        <v>8.848000000000001e-05</v>
      </c>
      <c r="W7" s="15" t="n">
        <v>8.759000000000001e-05</v>
      </c>
      <c r="X7" s="15" t="n">
        <v>8.672e-05</v>
      </c>
      <c r="Y7" s="15" t="n">
        <v>8.585e-05</v>
      </c>
      <c r="Z7" s="15" t="n">
        <v>8.499e-05</v>
      </c>
      <c r="AA7" s="15" t="n">
        <v>8.414e-05</v>
      </c>
      <c r="AB7" s="15" t="n">
        <v>8.330000000000001e-05</v>
      </c>
      <c r="AC7" s="15" t="n">
        <v>8.247e-05</v>
      </c>
      <c r="AD7" s="15" t="n">
        <v>8.164e-05</v>
      </c>
      <c r="AE7" s="15" t="n">
        <v>8.083e-05</v>
      </c>
      <c r="AF7" s="15" t="n">
        <v>8.002e-05</v>
      </c>
      <c r="AG7" s="15" t="n">
        <v>7.922e-05</v>
      </c>
      <c r="AH7" s="15" t="n">
        <v>7.842e-05</v>
      </c>
      <c r="AI7" s="15" t="n">
        <v>7.764e-05</v>
      </c>
      <c r="AJ7" s="15" t="n">
        <v>7.686000000000001e-05</v>
      </c>
      <c r="AK7" s="15" t="n">
        <v>7.610000000000001e-05</v>
      </c>
      <c r="AL7" s="15" t="n">
        <v>7.533e-05</v>
      </c>
      <c r="AM7" s="15" t="n">
        <v>7.457999999999999e-05</v>
      </c>
      <c r="AN7" s="15" t="n">
        <v>7.384e-05</v>
      </c>
      <c r="AO7" s="15" t="n">
        <v>7.31e-05</v>
      </c>
      <c r="AP7" s="15" t="n">
        <v>7.237e-05</v>
      </c>
      <c r="AQ7" s="15" t="n">
        <v>7.164e-05</v>
      </c>
      <c r="AR7" s="15" t="n">
        <v>7.093e-05</v>
      </c>
      <c r="AS7" s="15" t="n">
        <v>7.022e-05</v>
      </c>
      <c r="AT7" s="15" t="n">
        <v>6.951e-05</v>
      </c>
      <c r="AU7" s="15" t="n">
        <v>6.882e-05</v>
      </c>
      <c r="AV7" s="15" t="n">
        <v>6.813e-05</v>
      </c>
      <c r="AW7" s="15" t="n">
        <v>6.745e-05</v>
      </c>
      <c r="AX7" s="15" t="n">
        <v>6.677999999999999e-05</v>
      </c>
      <c r="AY7" s="15" t="n">
        <v>6.611e-05</v>
      </c>
      <c r="AZ7" s="15" t="n">
        <v>6.545000000000001e-05</v>
      </c>
      <c r="BA7" s="15" t="n">
        <v>6.478999999999999e-05</v>
      </c>
      <c r="BB7" s="15" t="n">
        <v>6.414000000000001e-05</v>
      </c>
      <c r="BC7" s="15" t="n">
        <v>6.35e-05</v>
      </c>
      <c r="BD7" s="15" t="n">
        <v>6.287e-05</v>
      </c>
      <c r="BE7" s="15" t="n">
        <v>6.224e-05</v>
      </c>
      <c r="BF7" s="15" t="n">
        <v>6.162e-05</v>
      </c>
      <c r="BG7" s="15" t="n">
        <v>6.1e-05</v>
      </c>
      <c r="BH7" s="15" t="n">
        <v>6.039e-05</v>
      </c>
      <c r="BI7" s="15" t="n">
        <v>5.979e-05</v>
      </c>
      <c r="BJ7" s="15" t="n">
        <v>5.919e-05</v>
      </c>
      <c r="BK7" s="15" t="n">
        <v>5.86e-05</v>
      </c>
      <c r="BL7" s="15" t="n">
        <v>5.801e-05</v>
      </c>
      <c r="BM7" s="15" t="n">
        <v>5.743e-05</v>
      </c>
      <c r="BN7" s="15" t="n">
        <v>5.686e-05</v>
      </c>
      <c r="BO7" s="15" t="n">
        <v>5.629e-05</v>
      </c>
      <c r="BP7" s="15" t="n">
        <v>5.572e-05</v>
      </c>
      <c r="BQ7" s="15" t="n">
        <v>5.517e-05</v>
      </c>
      <c r="BR7" s="15" t="n">
        <v>5.462e-05</v>
      </c>
      <c r="BS7" s="15" t="n">
        <v>5.407e-05</v>
      </c>
      <c r="BT7" s="15" t="n">
        <v>5.353e-05</v>
      </c>
      <c r="BU7" s="15" t="n">
        <v>5.299e-05</v>
      </c>
      <c r="BV7" s="15" t="n">
        <v>5.246e-05</v>
      </c>
      <c r="BW7" s="15" t="n">
        <v>5.194e-05</v>
      </c>
      <c r="BX7" s="15" t="n">
        <v>5.142e-05</v>
      </c>
    </row>
    <row r="8">
      <c r="A8" t="n">
        <v>5</v>
      </c>
      <c r="B8" s="15" t="n">
        <v>0.00010518</v>
      </c>
      <c r="C8" s="15" t="n">
        <v>0.00010273</v>
      </c>
      <c r="D8" s="15" t="n">
        <v>0.00010058</v>
      </c>
      <c r="E8" s="15" t="n">
        <v>9.869000000000001e-05</v>
      </c>
      <c r="F8" s="15" t="n">
        <v>9.704000000000001e-05</v>
      </c>
      <c r="G8" s="15" t="n">
        <v>9.560000000000001e-05</v>
      </c>
      <c r="H8" s="15" t="n">
        <v>9.433e-05</v>
      </c>
      <c r="I8" s="15" t="n">
        <v>9.321e-05</v>
      </c>
      <c r="J8" s="15" t="n">
        <v>9.22e-05</v>
      </c>
      <c r="K8" s="15" t="n">
        <v>9.126e-05</v>
      </c>
      <c r="L8" s="15" t="n">
        <v>9.034000000000001e-05</v>
      </c>
      <c r="M8" s="15" t="n">
        <v>8.944e-05</v>
      </c>
      <c r="N8" s="15" t="n">
        <v>8.855e-05</v>
      </c>
      <c r="O8" s="15" t="n">
        <v>8.766e-05</v>
      </c>
      <c r="P8" s="15" t="n">
        <v>8.678000000000001e-05</v>
      </c>
      <c r="Q8" s="15" t="n">
        <v>8.592e-05</v>
      </c>
      <c r="R8" s="15" t="n">
        <v>8.506e-05</v>
      </c>
      <c r="S8" s="15" t="n">
        <v>8.421e-05</v>
      </c>
      <c r="T8" s="15" t="n">
        <v>8.336e-05</v>
      </c>
      <c r="U8" s="15" t="n">
        <v>8.253e-05</v>
      </c>
      <c r="V8" s="15" t="n">
        <v>8.171e-05</v>
      </c>
      <c r="W8" s="15" t="n">
        <v>8.089000000000001e-05</v>
      </c>
      <c r="X8" s="15" t="n">
        <v>8.008000000000001e-05</v>
      </c>
      <c r="Y8" s="15" t="n">
        <v>7.928e-05</v>
      </c>
      <c r="Z8" s="15" t="n">
        <v>7.849e-05</v>
      </c>
      <c r="AA8" s="15" t="n">
        <v>7.77e-05</v>
      </c>
      <c r="AB8" s="15" t="n">
        <v>7.692e-05</v>
      </c>
      <c r="AC8" s="15" t="n">
        <v>7.614999999999999e-05</v>
      </c>
      <c r="AD8" s="15" t="n">
        <v>7.538999999999999e-05</v>
      </c>
      <c r="AE8" s="15" t="n">
        <v>7.464e-05</v>
      </c>
      <c r="AF8" s="15" t="n">
        <v>7.389e-05</v>
      </c>
      <c r="AG8" s="15" t="n">
        <v>7.315e-05</v>
      </c>
      <c r="AH8" s="15" t="n">
        <v>7.242e-05</v>
      </c>
      <c r="AI8" s="15" t="n">
        <v>7.169999999999999e-05</v>
      </c>
      <c r="AJ8" s="15" t="n">
        <v>7.098e-05</v>
      </c>
      <c r="AK8" s="15" t="n">
        <v>7.027e-05</v>
      </c>
      <c r="AL8" s="15" t="n">
        <v>6.957e-05</v>
      </c>
      <c r="AM8" s="15" t="n">
        <v>6.887e-05</v>
      </c>
      <c r="AN8" s="15" t="n">
        <v>6.818e-05</v>
      </c>
      <c r="AO8" s="15" t="n">
        <v>6.75e-05</v>
      </c>
      <c r="AP8" s="15" t="n">
        <v>6.683e-05</v>
      </c>
      <c r="AQ8" s="15" t="n">
        <v>6.616e-05</v>
      </c>
      <c r="AR8" s="15" t="n">
        <v>6.550000000000001e-05</v>
      </c>
      <c r="AS8" s="15" t="n">
        <v>6.484e-05</v>
      </c>
      <c r="AT8" s="15" t="n">
        <v>6.418999999999999e-05</v>
      </c>
      <c r="AU8" s="15" t="n">
        <v>6.355e-05</v>
      </c>
      <c r="AV8" s="15" t="n">
        <v>6.292e-05</v>
      </c>
      <c r="AW8" s="15" t="n">
        <v>6.229e-05</v>
      </c>
      <c r="AX8" s="15" t="n">
        <v>6.166e-05</v>
      </c>
      <c r="AY8" s="15" t="n">
        <v>6.105000000000001e-05</v>
      </c>
      <c r="AZ8" s="15" t="n">
        <v>6.044e-05</v>
      </c>
      <c r="BA8" s="15" t="n">
        <v>5.983e-05</v>
      </c>
      <c r="BB8" s="15" t="n">
        <v>5.923e-05</v>
      </c>
      <c r="BC8" s="15" t="n">
        <v>5.864e-05</v>
      </c>
      <c r="BD8" s="15" t="n">
        <v>5.806e-05</v>
      </c>
      <c r="BE8" s="15" t="n">
        <v>5.748e-05</v>
      </c>
      <c r="BF8" s="15" t="n">
        <v>5.69e-05</v>
      </c>
      <c r="BG8" s="15" t="n">
        <v>5.633e-05</v>
      </c>
      <c r="BH8" s="15" t="n">
        <v>5.577e-05</v>
      </c>
      <c r="BI8" s="15" t="n">
        <v>5.521e-05</v>
      </c>
      <c r="BJ8" s="15" t="n">
        <v>5.466e-05</v>
      </c>
      <c r="BK8" s="15" t="n">
        <v>5.411e-05</v>
      </c>
      <c r="BL8" s="15" t="n">
        <v>5.357e-05</v>
      </c>
      <c r="BM8" s="15" t="n">
        <v>5.304e-05</v>
      </c>
      <c r="BN8" s="15" t="n">
        <v>5.25e-05</v>
      </c>
      <c r="BO8" s="15" t="n">
        <v>5.198e-05</v>
      </c>
      <c r="BP8" s="15" t="n">
        <v>5.146e-05</v>
      </c>
      <c r="BQ8" s="15" t="n">
        <v>5.095e-05</v>
      </c>
      <c r="BR8" s="15" t="n">
        <v>5.044e-05</v>
      </c>
      <c r="BS8" s="15" t="n">
        <v>4.993e-05</v>
      </c>
      <c r="BT8" s="15" t="n">
        <v>4.943e-05</v>
      </c>
      <c r="BU8" s="15" t="n">
        <v>4.894e-05</v>
      </c>
      <c r="BV8" s="15" t="n">
        <v>4.845e-05</v>
      </c>
      <c r="BW8" s="15" t="n">
        <v>4.796e-05</v>
      </c>
      <c r="BX8" s="15" t="n">
        <v>4.748e-05</v>
      </c>
    </row>
    <row r="9">
      <c r="A9" t="n">
        <v>6</v>
      </c>
      <c r="B9" s="15" t="n">
        <v>9.844e-05</v>
      </c>
      <c r="C9" s="15" t="n">
        <v>9.621e-05</v>
      </c>
      <c r="D9" s="15" t="n">
        <v>9.423e-05</v>
      </c>
      <c r="E9" s="15" t="n">
        <v>9.25e-05</v>
      </c>
      <c r="F9" s="15" t="n">
        <v>9.098e-05</v>
      </c>
      <c r="G9" s="15" t="n">
        <v>8.964e-05</v>
      </c>
      <c r="H9" s="15" t="n">
        <v>8.847e-05</v>
      </c>
      <c r="I9" s="15" t="n">
        <v>8.742e-05</v>
      </c>
      <c r="J9" s="15" t="n">
        <v>8.648e-05</v>
      </c>
      <c r="K9" s="15" t="n">
        <v>8.559e-05</v>
      </c>
      <c r="L9" s="15" t="n">
        <v>8.474000000000001e-05</v>
      </c>
      <c r="M9" s="15" t="n">
        <v>8.389e-05</v>
      </c>
      <c r="N9" s="15" t="n">
        <v>8.305e-05</v>
      </c>
      <c r="O9" s="15" t="n">
        <v>8.222e-05</v>
      </c>
      <c r="P9" s="15" t="n">
        <v>8.14e-05</v>
      </c>
      <c r="Q9" s="15" t="n">
        <v>8.058e-05</v>
      </c>
      <c r="R9" s="15" t="n">
        <v>7.978e-05</v>
      </c>
      <c r="S9" s="15" t="n">
        <v>7.898000000000001e-05</v>
      </c>
      <c r="T9" s="15" t="n">
        <v>7.819e-05</v>
      </c>
      <c r="U9" s="15" t="n">
        <v>7.741000000000001e-05</v>
      </c>
      <c r="V9" s="15" t="n">
        <v>7.663e-05</v>
      </c>
      <c r="W9" s="15" t="n">
        <v>7.587e-05</v>
      </c>
      <c r="X9" s="15" t="n">
        <v>7.511e-05</v>
      </c>
      <c r="Y9" s="15" t="n">
        <v>7.436e-05</v>
      </c>
      <c r="Z9" s="15" t="n">
        <v>7.360999999999999e-05</v>
      </c>
      <c r="AA9" s="15" t="n">
        <v>7.287999999999999e-05</v>
      </c>
      <c r="AB9" s="15" t="n">
        <v>7.215000000000001e-05</v>
      </c>
      <c r="AC9" s="15" t="n">
        <v>7.143e-05</v>
      </c>
      <c r="AD9" s="15" t="n">
        <v>7.071000000000001e-05</v>
      </c>
      <c r="AE9" s="15" t="n">
        <v>7.001e-05</v>
      </c>
      <c r="AF9" s="15" t="n">
        <v>6.931e-05</v>
      </c>
      <c r="AG9" s="15" t="n">
        <v>6.861e-05</v>
      </c>
      <c r="AH9" s="15" t="n">
        <v>6.793e-05</v>
      </c>
      <c r="AI9" s="15" t="n">
        <v>6.724999999999999e-05</v>
      </c>
      <c r="AJ9" s="15" t="n">
        <v>6.658e-05</v>
      </c>
      <c r="AK9" s="15" t="n">
        <v>6.591e-05</v>
      </c>
      <c r="AL9" s="15" t="n">
        <v>6.525e-05</v>
      </c>
      <c r="AM9" s="15" t="n">
        <v>6.46e-05</v>
      </c>
      <c r="AN9" s="15" t="n">
        <v>6.395e-05</v>
      </c>
      <c r="AO9" s="15" t="n">
        <v>6.331e-05</v>
      </c>
      <c r="AP9" s="15" t="n">
        <v>6.268e-05</v>
      </c>
      <c r="AQ9" s="15" t="n">
        <v>6.205e-05</v>
      </c>
      <c r="AR9" s="15" t="n">
        <v>6.143e-05</v>
      </c>
      <c r="AS9" s="15" t="n">
        <v>6.082e-05</v>
      </c>
      <c r="AT9" s="15" t="n">
        <v>6.021e-05</v>
      </c>
      <c r="AU9" s="15" t="n">
        <v>5.961e-05</v>
      </c>
      <c r="AV9" s="15" t="n">
        <v>5.901e-05</v>
      </c>
      <c r="AW9" s="15" t="n">
        <v>5.842e-05</v>
      </c>
      <c r="AX9" s="15" t="n">
        <v>5.784e-05</v>
      </c>
      <c r="AY9" s="15" t="n">
        <v>5.726e-05</v>
      </c>
      <c r="AZ9" s="15" t="n">
        <v>5.669e-05</v>
      </c>
      <c r="BA9" s="15" t="n">
        <v>5.612e-05</v>
      </c>
      <c r="BB9" s="15" t="n">
        <v>5.556e-05</v>
      </c>
      <c r="BC9" s="15" t="n">
        <v>5.5e-05</v>
      </c>
      <c r="BD9" s="15" t="n">
        <v>5.445e-05</v>
      </c>
      <c r="BE9" s="15" t="n">
        <v>5.391e-05</v>
      </c>
      <c r="BF9" s="15" t="n">
        <v>5.337e-05</v>
      </c>
      <c r="BG9" s="15" t="n">
        <v>5.284e-05</v>
      </c>
      <c r="BH9" s="15" t="n">
        <v>5.231e-05</v>
      </c>
      <c r="BI9" s="15" t="n">
        <v>5.178e-05</v>
      </c>
      <c r="BJ9" s="15" t="n">
        <v>5.127e-05</v>
      </c>
      <c r="BK9" s="15" t="n">
        <v>5.075e-05</v>
      </c>
      <c r="BL9" s="15" t="n">
        <v>5.025e-05</v>
      </c>
      <c r="BM9" s="15" t="n">
        <v>4.974e-05</v>
      </c>
      <c r="BN9" s="15" t="n">
        <v>4.925e-05</v>
      </c>
      <c r="BO9" s="15" t="n">
        <v>4.875e-05</v>
      </c>
      <c r="BP9" s="15" t="n">
        <v>4.827e-05</v>
      </c>
      <c r="BQ9" s="15" t="n">
        <v>4.778e-05</v>
      </c>
      <c r="BR9" s="15" t="n">
        <v>4.731e-05</v>
      </c>
      <c r="BS9" s="15" t="n">
        <v>4.683e-05</v>
      </c>
      <c r="BT9" s="15" t="n">
        <v>4.636e-05</v>
      </c>
      <c r="BU9" s="15" t="n">
        <v>4.59e-05</v>
      </c>
      <c r="BV9" s="15" t="n">
        <v>4.544e-05</v>
      </c>
      <c r="BW9" s="15" t="n">
        <v>4.499e-05</v>
      </c>
      <c r="BX9" s="15" t="n">
        <v>4.454e-05</v>
      </c>
    </row>
    <row r="10">
      <c r="A10" t="n">
        <v>7</v>
      </c>
      <c r="B10" s="15" t="n">
        <v>9.579e-05</v>
      </c>
      <c r="C10" s="15" t="n">
        <v>9.367e-05</v>
      </c>
      <c r="D10" s="15" t="n">
        <v>9.18e-05</v>
      </c>
      <c r="E10" s="15" t="n">
        <v>9.014e-05</v>
      </c>
      <c r="F10" s="15" t="n">
        <v>8.869000000000001e-05</v>
      </c>
      <c r="G10" s="15" t="n">
        <v>8.741000000000001e-05</v>
      </c>
      <c r="H10" s="15" t="n">
        <v>8.627e-05</v>
      </c>
      <c r="I10" s="15" t="n">
        <v>8.525999999999999e-05</v>
      </c>
      <c r="J10" s="15" t="n">
        <v>8.434e-05</v>
      </c>
      <c r="K10" s="15" t="n">
        <v>8.347999999999999e-05</v>
      </c>
      <c r="L10" s="15" t="n">
        <v>8.265e-05</v>
      </c>
      <c r="M10" s="15" t="n">
        <v>8.182e-05</v>
      </c>
      <c r="N10" s="15" t="n">
        <v>8.1e-05</v>
      </c>
      <c r="O10" s="15" t="n">
        <v>8.019e-05</v>
      </c>
      <c r="P10" s="15" t="n">
        <v>7.939e-05</v>
      </c>
      <c r="Q10" s="15" t="n">
        <v>7.859e-05</v>
      </c>
      <c r="R10" s="15" t="n">
        <v>7.781e-05</v>
      </c>
      <c r="S10" s="15" t="n">
        <v>7.703e-05</v>
      </c>
      <c r="T10" s="15" t="n">
        <v>7.626000000000001e-05</v>
      </c>
      <c r="U10" s="15" t="n">
        <v>7.550000000000001e-05</v>
      </c>
      <c r="V10" s="15" t="n">
        <v>7.474000000000001e-05</v>
      </c>
      <c r="W10" s="15" t="n">
        <v>7.4e-05</v>
      </c>
      <c r="X10" s="15" t="n">
        <v>7.326e-05</v>
      </c>
      <c r="Y10" s="15" t="n">
        <v>7.252e-05</v>
      </c>
      <c r="Z10" s="15" t="n">
        <v>7.18e-05</v>
      </c>
      <c r="AA10" s="15" t="n">
        <v>7.108e-05</v>
      </c>
      <c r="AB10" s="15" t="n">
        <v>7.037000000000001e-05</v>
      </c>
      <c r="AC10" s="15" t="n">
        <v>6.967e-05</v>
      </c>
      <c r="AD10" s="15" t="n">
        <v>6.897e-05</v>
      </c>
      <c r="AE10" s="15" t="n">
        <v>6.828e-05</v>
      </c>
      <c r="AF10" s="15" t="n">
        <v>6.76e-05</v>
      </c>
      <c r="AG10" s="15" t="n">
        <v>6.692e-05</v>
      </c>
      <c r="AH10" s="15" t="n">
        <v>6.625e-05</v>
      </c>
      <c r="AI10" s="15" t="n">
        <v>6.559e-05</v>
      </c>
      <c r="AJ10" s="15" t="n">
        <v>6.493e-05</v>
      </c>
      <c r="AK10" s="15" t="n">
        <v>6.428e-05</v>
      </c>
      <c r="AL10" s="15" t="n">
        <v>6.363999999999999e-05</v>
      </c>
      <c r="AM10" s="15" t="n">
        <v>6.3e-05</v>
      </c>
      <c r="AN10" s="15" t="n">
        <v>6.237e-05</v>
      </c>
      <c r="AO10" s="15" t="n">
        <v>6.175e-05</v>
      </c>
      <c r="AP10" s="15" t="n">
        <v>6.113000000000001e-05</v>
      </c>
      <c r="AQ10" s="15" t="n">
        <v>6.052e-05</v>
      </c>
      <c r="AR10" s="15" t="n">
        <v>5.992e-05</v>
      </c>
      <c r="AS10" s="15" t="n">
        <v>5.932e-05</v>
      </c>
      <c r="AT10" s="15" t="n">
        <v>5.872e-05</v>
      </c>
      <c r="AU10" s="15" t="n">
        <v>5.814e-05</v>
      </c>
      <c r="AV10" s="15" t="n">
        <v>5.756e-05</v>
      </c>
      <c r="AW10" s="15" t="n">
        <v>5.698e-05</v>
      </c>
      <c r="AX10" s="15" t="n">
        <v>5.641e-05</v>
      </c>
      <c r="AY10" s="15" t="n">
        <v>5.585e-05</v>
      </c>
      <c r="AZ10" s="15" t="n">
        <v>5.529e-05</v>
      </c>
      <c r="BA10" s="15" t="n">
        <v>5.473e-05</v>
      </c>
      <c r="BB10" s="15" t="n">
        <v>5.419e-05</v>
      </c>
      <c r="BC10" s="15" t="n">
        <v>5.365e-05</v>
      </c>
      <c r="BD10" s="15" t="n">
        <v>5.311e-05</v>
      </c>
      <c r="BE10" s="15" t="n">
        <v>5.258e-05</v>
      </c>
      <c r="BF10" s="15" t="n">
        <v>5.205e-05</v>
      </c>
      <c r="BG10" s="15" t="n">
        <v>5.153e-05</v>
      </c>
      <c r="BH10" s="15" t="n">
        <v>5.102e-05</v>
      </c>
      <c r="BI10" s="15" t="n">
        <v>5.051e-05</v>
      </c>
      <c r="BJ10" s="15" t="n">
        <v>5e-05</v>
      </c>
      <c r="BK10" s="15" t="n">
        <v>4.95e-05</v>
      </c>
      <c r="BL10" s="15" t="n">
        <v>4.901e-05</v>
      </c>
      <c r="BM10" s="15" t="n">
        <v>4.852e-05</v>
      </c>
      <c r="BN10" s="15" t="n">
        <v>4.803e-05</v>
      </c>
      <c r="BO10" s="15" t="n">
        <v>4.755e-05</v>
      </c>
      <c r="BP10" s="15" t="n">
        <v>4.707e-05</v>
      </c>
      <c r="BQ10" s="15" t="n">
        <v>4.66e-05</v>
      </c>
      <c r="BR10" s="15" t="n">
        <v>4.614e-05</v>
      </c>
      <c r="BS10" s="15" t="n">
        <v>4.568e-05</v>
      </c>
      <c r="BT10" s="15" t="n">
        <v>4.522e-05</v>
      </c>
      <c r="BU10" s="15" t="n">
        <v>4.477e-05</v>
      </c>
      <c r="BV10" s="15" t="n">
        <v>4.432e-05</v>
      </c>
      <c r="BW10" s="15" t="n">
        <v>4.388e-05</v>
      </c>
      <c r="BX10" s="15" t="n">
        <v>4.344e-05</v>
      </c>
    </row>
    <row r="11">
      <c r="A11" t="n">
        <v>8</v>
      </c>
      <c r="B11" s="15" t="n">
        <v>9.43e-05</v>
      </c>
      <c r="C11" s="15" t="n">
        <v>9.228e-05</v>
      </c>
      <c r="D11" s="15" t="n">
        <v>9.048e-05</v>
      </c>
      <c r="E11" s="15" t="n">
        <v>8.889e-05</v>
      </c>
      <c r="F11" s="15" t="n">
        <v>8.748e-05</v>
      </c>
      <c r="G11" s="15" t="n">
        <v>8.624e-05</v>
      </c>
      <c r="H11" s="15" t="n">
        <v>8.514e-05</v>
      </c>
      <c r="I11" s="15" t="n">
        <v>8.415e-05</v>
      </c>
      <c r="J11" s="15" t="n">
        <v>8.324e-05</v>
      </c>
      <c r="K11" s="15" t="n">
        <v>8.239e-05</v>
      </c>
      <c r="L11" s="15" t="n">
        <v>8.157000000000001e-05</v>
      </c>
      <c r="M11" s="15" t="n">
        <v>8.075e-05</v>
      </c>
      <c r="N11" s="15" t="n">
        <v>7.995000000000001e-05</v>
      </c>
      <c r="O11" s="15" t="n">
        <v>7.915e-05</v>
      </c>
      <c r="P11" s="15" t="n">
        <v>7.834999999999999e-05</v>
      </c>
      <c r="Q11" s="15" t="n">
        <v>7.757e-05</v>
      </c>
      <c r="R11" s="15" t="n">
        <v>7.68e-05</v>
      </c>
      <c r="S11" s="15" t="n">
        <v>7.603e-05</v>
      </c>
      <c r="T11" s="15" t="n">
        <v>7.527e-05</v>
      </c>
      <c r="U11" s="15" t="n">
        <v>7.451e-05</v>
      </c>
      <c r="V11" s="15" t="n">
        <v>7.376999999999999e-05</v>
      </c>
      <c r="W11" s="15" t="n">
        <v>7.303e-05</v>
      </c>
      <c r="X11" s="15" t="n">
        <v>7.23e-05</v>
      </c>
      <c r="Y11" s="15" t="n">
        <v>7.158e-05</v>
      </c>
      <c r="Z11" s="15" t="n">
        <v>7.086e-05</v>
      </c>
      <c r="AA11" s="15" t="n">
        <v>7.015e-05</v>
      </c>
      <c r="AB11" s="15" t="n">
        <v>6.944999999999999e-05</v>
      </c>
      <c r="AC11" s="15" t="n">
        <v>6.876e-05</v>
      </c>
      <c r="AD11" s="15" t="n">
        <v>6.807e-05</v>
      </c>
      <c r="AE11" s="15" t="n">
        <v>6.739e-05</v>
      </c>
      <c r="AF11" s="15" t="n">
        <v>6.672e-05</v>
      </c>
      <c r="AG11" s="15" t="n">
        <v>6.605000000000001e-05</v>
      </c>
      <c r="AH11" s="15" t="n">
        <v>6.539e-05</v>
      </c>
      <c r="AI11" s="15" t="n">
        <v>6.473e-05</v>
      </c>
      <c r="AJ11" s="15" t="n">
        <v>6.409e-05</v>
      </c>
      <c r="AK11" s="15" t="n">
        <v>6.345e-05</v>
      </c>
      <c r="AL11" s="15" t="n">
        <v>6.281e-05</v>
      </c>
      <c r="AM11" s="15" t="n">
        <v>6.218e-05</v>
      </c>
      <c r="AN11" s="15" t="n">
        <v>6.156e-05</v>
      </c>
      <c r="AO11" s="15" t="n">
        <v>6.095e-05</v>
      </c>
      <c r="AP11" s="15" t="n">
        <v>6.034e-05</v>
      </c>
      <c r="AQ11" s="15" t="n">
        <v>5.973e-05</v>
      </c>
      <c r="AR11" s="15" t="n">
        <v>5.914e-05</v>
      </c>
      <c r="AS11" s="15" t="n">
        <v>5.854e-05</v>
      </c>
      <c r="AT11" s="15" t="n">
        <v>5.796e-05</v>
      </c>
      <c r="AU11" s="15" t="n">
        <v>5.738e-05</v>
      </c>
      <c r="AV11" s="15" t="n">
        <v>5.681e-05</v>
      </c>
      <c r="AW11" s="15" t="n">
        <v>5.624e-05</v>
      </c>
      <c r="AX11" s="15" t="n">
        <v>5.567e-05</v>
      </c>
      <c r="AY11" s="15" t="n">
        <v>5.512e-05</v>
      </c>
      <c r="AZ11" s="15" t="n">
        <v>5.457e-05</v>
      </c>
      <c r="BA11" s="15" t="n">
        <v>5.402e-05</v>
      </c>
      <c r="BB11" s="15" t="n">
        <v>5.348e-05</v>
      </c>
      <c r="BC11" s="15" t="n">
        <v>5.295e-05</v>
      </c>
      <c r="BD11" s="15" t="n">
        <v>5.242e-05</v>
      </c>
      <c r="BE11" s="15" t="n">
        <v>5.189e-05</v>
      </c>
      <c r="BF11" s="15" t="n">
        <v>5.137e-05</v>
      </c>
      <c r="BG11" s="15" t="n">
        <v>5.086e-05</v>
      </c>
      <c r="BH11" s="15" t="n">
        <v>5.035e-05</v>
      </c>
      <c r="BI11" s="15" t="n">
        <v>4.985e-05</v>
      </c>
      <c r="BJ11" s="15" t="n">
        <v>4.935e-05</v>
      </c>
      <c r="BK11" s="15" t="n">
        <v>4.886e-05</v>
      </c>
      <c r="BL11" s="15" t="n">
        <v>4.837e-05</v>
      </c>
      <c r="BM11" s="15" t="n">
        <v>4.788e-05</v>
      </c>
      <c r="BN11" s="15" t="n">
        <v>4.74e-05</v>
      </c>
      <c r="BO11" s="15" t="n">
        <v>4.693e-05</v>
      </c>
      <c r="BP11" s="15" t="n">
        <v>4.646e-05</v>
      </c>
      <c r="BQ11" s="15" t="n">
        <v>4.6e-05</v>
      </c>
      <c r="BR11" s="15" t="n">
        <v>4.554e-05</v>
      </c>
      <c r="BS11" s="15" t="n">
        <v>4.508e-05</v>
      </c>
      <c r="BT11" s="15" t="n">
        <v>4.463e-05</v>
      </c>
      <c r="BU11" s="15" t="n">
        <v>4.418e-05</v>
      </c>
      <c r="BV11" s="15" t="n">
        <v>4.374e-05</v>
      </c>
      <c r="BW11" s="15" t="n">
        <v>4.331e-05</v>
      </c>
      <c r="BX11" s="15" t="n">
        <v>4.287e-05</v>
      </c>
    </row>
    <row r="12">
      <c r="A12" t="n">
        <v>9</v>
      </c>
      <c r="B12" s="15" t="n">
        <v>9.418e-05</v>
      </c>
      <c r="C12" s="15" t="n">
        <v>9.223e-05</v>
      </c>
      <c r="D12" s="15" t="n">
        <v>9.049e-05</v>
      </c>
      <c r="E12" s="15" t="n">
        <v>8.894e-05</v>
      </c>
      <c r="F12" s="15" t="n">
        <v>8.756e-05</v>
      </c>
      <c r="G12" s="15" t="n">
        <v>8.634e-05</v>
      </c>
      <c r="H12" s="15" t="n">
        <v>8.525e-05</v>
      </c>
      <c r="I12" s="15" t="n">
        <v>8.426e-05</v>
      </c>
      <c r="J12" s="15" t="n">
        <v>8.336e-05</v>
      </c>
      <c r="K12" s="15" t="n">
        <v>8.250999999999999e-05</v>
      </c>
      <c r="L12" s="15" t="n">
        <v>8.169e-05</v>
      </c>
      <c r="M12" s="15" t="n">
        <v>8.087e-05</v>
      </c>
      <c r="N12" s="15" t="n">
        <v>8.006e-05</v>
      </c>
      <c r="O12" s="15" t="n">
        <v>7.926e-05</v>
      </c>
      <c r="P12" s="15" t="n">
        <v>7.847e-05</v>
      </c>
      <c r="Q12" s="15" t="n">
        <v>7.768e-05</v>
      </c>
      <c r="R12" s="15" t="n">
        <v>7.690999999999999e-05</v>
      </c>
      <c r="S12" s="15" t="n">
        <v>7.614e-05</v>
      </c>
      <c r="T12" s="15" t="n">
        <v>7.538e-05</v>
      </c>
      <c r="U12" s="15" t="n">
        <v>7.462e-05</v>
      </c>
      <c r="V12" s="15" t="n">
        <v>7.388e-05</v>
      </c>
      <c r="W12" s="15" t="n">
        <v>7.313999999999999e-05</v>
      </c>
      <c r="X12" s="15" t="n">
        <v>7.241000000000001e-05</v>
      </c>
      <c r="Y12" s="15" t="n">
        <v>7.168e-05</v>
      </c>
      <c r="Z12" s="15" t="n">
        <v>7.096e-05</v>
      </c>
      <c r="AA12" s="15" t="n">
        <v>7.025999999999999e-05</v>
      </c>
      <c r="AB12" s="15" t="n">
        <v>6.955e-05</v>
      </c>
      <c r="AC12" s="15" t="n">
        <v>6.886e-05</v>
      </c>
      <c r="AD12" s="15" t="n">
        <v>6.817000000000001e-05</v>
      </c>
      <c r="AE12" s="15" t="n">
        <v>6.749000000000001e-05</v>
      </c>
      <c r="AF12" s="15" t="n">
        <v>6.681000000000001e-05</v>
      </c>
      <c r="AG12" s="15" t="n">
        <v>6.614e-05</v>
      </c>
      <c r="AH12" s="15" t="n">
        <v>6.548e-05</v>
      </c>
      <c r="AI12" s="15" t="n">
        <v>6.483e-05</v>
      </c>
      <c r="AJ12" s="15" t="n">
        <v>6.418e-05</v>
      </c>
      <c r="AK12" s="15" t="n">
        <v>6.354e-05</v>
      </c>
      <c r="AL12" s="15" t="n">
        <v>6.29e-05</v>
      </c>
      <c r="AM12" s="15" t="n">
        <v>6.227e-05</v>
      </c>
      <c r="AN12" s="15" t="n">
        <v>6.164999999999999e-05</v>
      </c>
      <c r="AO12" s="15" t="n">
        <v>6.103e-05</v>
      </c>
      <c r="AP12" s="15" t="n">
        <v>6.042e-05</v>
      </c>
      <c r="AQ12" s="15" t="n">
        <v>5.982e-05</v>
      </c>
      <c r="AR12" s="15" t="n">
        <v>5.922e-05</v>
      </c>
      <c r="AS12" s="15" t="n">
        <v>5.863e-05</v>
      </c>
      <c r="AT12" s="15" t="n">
        <v>5.804e-05</v>
      </c>
      <c r="AU12" s="15" t="n">
        <v>5.746e-05</v>
      </c>
      <c r="AV12" s="15" t="n">
        <v>5.689e-05</v>
      </c>
      <c r="AW12" s="15" t="n">
        <v>5.632e-05</v>
      </c>
      <c r="AX12" s="15" t="n">
        <v>5.576e-05</v>
      </c>
      <c r="AY12" s="15" t="n">
        <v>5.52e-05</v>
      </c>
      <c r="AZ12" s="15" t="n">
        <v>5.465e-05</v>
      </c>
      <c r="BA12" s="15" t="n">
        <v>5.41e-05</v>
      </c>
      <c r="BB12" s="15" t="n">
        <v>5.356e-05</v>
      </c>
      <c r="BC12" s="15" t="n">
        <v>5.302e-05</v>
      </c>
      <c r="BD12" s="15" t="n">
        <v>5.249e-05</v>
      </c>
      <c r="BE12" s="15" t="n">
        <v>5.197e-05</v>
      </c>
      <c r="BF12" s="15" t="n">
        <v>5.145e-05</v>
      </c>
      <c r="BG12" s="15" t="n">
        <v>5.093e-05</v>
      </c>
      <c r="BH12" s="15" t="n">
        <v>5.042e-05</v>
      </c>
      <c r="BI12" s="15" t="n">
        <v>4.992e-05</v>
      </c>
      <c r="BJ12" s="15" t="n">
        <v>4.942e-05</v>
      </c>
      <c r="BK12" s="15" t="n">
        <v>4.893e-05</v>
      </c>
      <c r="BL12" s="15" t="n">
        <v>4.844e-05</v>
      </c>
      <c r="BM12" s="15" t="n">
        <v>4.795e-05</v>
      </c>
      <c r="BN12" s="15" t="n">
        <v>4.747e-05</v>
      </c>
      <c r="BO12" s="15" t="n">
        <v>4.7e-05</v>
      </c>
      <c r="BP12" s="15" t="n">
        <v>4.653e-05</v>
      </c>
      <c r="BQ12" s="15" t="n">
        <v>4.606e-05</v>
      </c>
      <c r="BR12" s="15" t="n">
        <v>4.56e-05</v>
      </c>
      <c r="BS12" s="15" t="n">
        <v>4.515e-05</v>
      </c>
      <c r="BT12" s="15" t="n">
        <v>4.47e-05</v>
      </c>
      <c r="BU12" s="15" t="n">
        <v>4.425e-05</v>
      </c>
      <c r="BV12" s="15" t="n">
        <v>4.381e-05</v>
      </c>
      <c r="BW12" s="15" t="n">
        <v>4.337e-05</v>
      </c>
      <c r="BX12" s="15" t="n">
        <v>4.293e-05</v>
      </c>
    </row>
    <row r="13">
      <c r="A13" t="n">
        <v>10</v>
      </c>
      <c r="B13" s="15" t="n">
        <v>9.895000000000001e-05</v>
      </c>
      <c r="C13" s="15" t="n">
        <v>9.697e-05</v>
      </c>
      <c r="D13" s="15" t="n">
        <v>9.52e-05</v>
      </c>
      <c r="E13" s="15" t="n">
        <v>9.361000000000001e-05</v>
      </c>
      <c r="F13" s="15" t="n">
        <v>9.22e-05</v>
      </c>
      <c r="G13" s="15" t="n">
        <v>9.093999999999999e-05</v>
      </c>
      <c r="H13" s="15" t="n">
        <v>8.98e-05</v>
      </c>
      <c r="I13" s="15" t="n">
        <v>8.878e-05</v>
      </c>
      <c r="J13" s="15" t="n">
        <v>8.783e-05</v>
      </c>
      <c r="K13" s="15" t="n">
        <v>8.694e-05</v>
      </c>
      <c r="L13" s="15" t="n">
        <v>8.606999999999999e-05</v>
      </c>
      <c r="M13" s="15" t="n">
        <v>8.521000000000001e-05</v>
      </c>
      <c r="N13" s="15" t="n">
        <v>8.435e-05</v>
      </c>
      <c r="O13" s="15" t="n">
        <v>8.351000000000001e-05</v>
      </c>
      <c r="P13" s="15" t="n">
        <v>8.268e-05</v>
      </c>
      <c r="Q13" s="15" t="n">
        <v>8.185e-05</v>
      </c>
      <c r="R13" s="15" t="n">
        <v>8.103e-05</v>
      </c>
      <c r="S13" s="15" t="n">
        <v>8.022e-05</v>
      </c>
      <c r="T13" s="15" t="n">
        <v>7.942e-05</v>
      </c>
      <c r="U13" s="15" t="n">
        <v>7.862e-05</v>
      </c>
      <c r="V13" s="15" t="n">
        <v>7.784e-05</v>
      </c>
      <c r="W13" s="15" t="n">
        <v>7.706e-05</v>
      </c>
      <c r="X13" s="15" t="n">
        <v>7.629e-05</v>
      </c>
      <c r="Y13" s="15" t="n">
        <v>7.553e-05</v>
      </c>
      <c r="Z13" s="15" t="n">
        <v>7.477e-05</v>
      </c>
      <c r="AA13" s="15" t="n">
        <v>7.402e-05</v>
      </c>
      <c r="AB13" s="15" t="n">
        <v>7.328e-05</v>
      </c>
      <c r="AC13" s="15" t="n">
        <v>7.255e-05</v>
      </c>
      <c r="AD13" s="15" t="n">
        <v>7.182e-05</v>
      </c>
      <c r="AE13" s="15" t="n">
        <v>7.111e-05</v>
      </c>
      <c r="AF13" s="15" t="n">
        <v>7.039e-05</v>
      </c>
      <c r="AG13" s="15" t="n">
        <v>6.969000000000001e-05</v>
      </c>
      <c r="AH13" s="15" t="n">
        <v>6.899e-05</v>
      </c>
      <c r="AI13" s="15" t="n">
        <v>6.830000000000001e-05</v>
      </c>
      <c r="AJ13" s="15" t="n">
        <v>6.762000000000001e-05</v>
      </c>
      <c r="AK13" s="15" t="n">
        <v>6.694000000000001e-05</v>
      </c>
      <c r="AL13" s="15" t="n">
        <v>6.627e-05</v>
      </c>
      <c r="AM13" s="15" t="n">
        <v>6.561e-05</v>
      </c>
      <c r="AN13" s="15" t="n">
        <v>6.496e-05</v>
      </c>
      <c r="AO13" s="15" t="n">
        <v>6.431e-05</v>
      </c>
      <c r="AP13" s="15" t="n">
        <v>6.366e-05</v>
      </c>
      <c r="AQ13" s="15" t="n">
        <v>6.303e-05</v>
      </c>
      <c r="AR13" s="15" t="n">
        <v>6.24e-05</v>
      </c>
      <c r="AS13" s="15" t="n">
        <v>6.177e-05</v>
      </c>
      <c r="AT13" s="15" t="n">
        <v>6.115e-05</v>
      </c>
      <c r="AU13" s="15" t="n">
        <v>6.054e-05</v>
      </c>
      <c r="AV13" s="15" t="n">
        <v>5.994e-05</v>
      </c>
      <c r="AW13" s="15" t="n">
        <v>5.934e-05</v>
      </c>
      <c r="AX13" s="15" t="n">
        <v>5.875e-05</v>
      </c>
      <c r="AY13" s="15" t="n">
        <v>5.816e-05</v>
      </c>
      <c r="AZ13" s="15" t="n">
        <v>5.758e-05</v>
      </c>
      <c r="BA13" s="15" t="n">
        <v>5.7e-05</v>
      </c>
      <c r="BB13" s="15" t="n">
        <v>5.643e-05</v>
      </c>
      <c r="BC13" s="15" t="n">
        <v>5.587e-05</v>
      </c>
      <c r="BD13" s="15" t="n">
        <v>5.531e-05</v>
      </c>
      <c r="BE13" s="15" t="n">
        <v>5.475e-05</v>
      </c>
      <c r="BF13" s="15" t="n">
        <v>5.421e-05</v>
      </c>
      <c r="BG13" s="15" t="n">
        <v>5.366e-05</v>
      </c>
      <c r="BH13" s="15" t="n">
        <v>5.313e-05</v>
      </c>
      <c r="BI13" s="15" t="n">
        <v>5.26e-05</v>
      </c>
      <c r="BJ13" s="15" t="n">
        <v>5.207e-05</v>
      </c>
      <c r="BK13" s="15" t="n">
        <v>5.155e-05</v>
      </c>
      <c r="BL13" s="15" t="n">
        <v>5.103e-05</v>
      </c>
      <c r="BM13" s="15" t="n">
        <v>5.052e-05</v>
      </c>
      <c r="BN13" s="15" t="n">
        <v>5.002e-05</v>
      </c>
      <c r="BO13" s="15" t="n">
        <v>4.952e-05</v>
      </c>
      <c r="BP13" s="15" t="n">
        <v>4.902e-05</v>
      </c>
      <c r="BQ13" s="15" t="n">
        <v>4.853e-05</v>
      </c>
      <c r="BR13" s="15" t="n">
        <v>4.805e-05</v>
      </c>
      <c r="BS13" s="15" t="n">
        <v>4.757e-05</v>
      </c>
      <c r="BT13" s="15" t="n">
        <v>4.709e-05</v>
      </c>
      <c r="BU13" s="15" t="n">
        <v>4.662e-05</v>
      </c>
      <c r="BV13" s="15" t="n">
        <v>4.615e-05</v>
      </c>
      <c r="BW13" s="15" t="n">
        <v>4.569e-05</v>
      </c>
      <c r="BX13" s="15" t="n">
        <v>4.524e-05</v>
      </c>
    </row>
    <row r="14">
      <c r="A14" t="n">
        <v>11</v>
      </c>
      <c r="B14" s="15" t="n">
        <v>0.00011196</v>
      </c>
      <c r="C14" s="15" t="n">
        <v>0.0001098</v>
      </c>
      <c r="D14" s="15" t="n">
        <v>0.00010786</v>
      </c>
      <c r="E14" s="15" t="n">
        <v>0.00010612</v>
      </c>
      <c r="F14" s="15" t="n">
        <v>0.00010456</v>
      </c>
      <c r="G14" s="15" t="n">
        <v>0.00010316</v>
      </c>
      <c r="H14" s="15" t="n">
        <v>0.00010189</v>
      </c>
      <c r="I14" s="15" t="n">
        <v>0.00010074</v>
      </c>
      <c r="J14" s="15" t="n">
        <v>9.967e-05</v>
      </c>
      <c r="K14" s="15" t="n">
        <v>9.865e-05</v>
      </c>
      <c r="L14" s="15" t="n">
        <v>9.767000000000001e-05</v>
      </c>
      <c r="M14" s="15" t="n">
        <v>9.669e-05</v>
      </c>
      <c r="N14" s="15" t="n">
        <v>9.572e-05</v>
      </c>
      <c r="O14" s="15" t="n">
        <v>9.477e-05</v>
      </c>
      <c r="P14" s="15" t="n">
        <v>9.382000000000001e-05</v>
      </c>
      <c r="Q14" s="15" t="n">
        <v>9.288000000000001e-05</v>
      </c>
      <c r="R14" s="15" t="n">
        <v>9.195e-05</v>
      </c>
      <c r="S14" s="15" t="n">
        <v>9.103e-05</v>
      </c>
      <c r="T14" s="15" t="n">
        <v>9.012e-05</v>
      </c>
      <c r="U14" s="15" t="n">
        <v>8.922e-05</v>
      </c>
      <c r="V14" s="15" t="n">
        <v>8.833e-05</v>
      </c>
      <c r="W14" s="15" t="n">
        <v>8.745e-05</v>
      </c>
      <c r="X14" s="15" t="n">
        <v>8.657000000000001e-05</v>
      </c>
      <c r="Y14" s="15" t="n">
        <v>8.571e-05</v>
      </c>
      <c r="Z14" s="15" t="n">
        <v>8.485e-05</v>
      </c>
      <c r="AA14" s="15" t="n">
        <v>8.4e-05</v>
      </c>
      <c r="AB14" s="15" t="n">
        <v>8.316e-05</v>
      </c>
      <c r="AC14" s="15" t="n">
        <v>8.233000000000001e-05</v>
      </c>
      <c r="AD14" s="15" t="n">
        <v>8.15e-05</v>
      </c>
      <c r="AE14" s="15" t="n">
        <v>8.069e-05</v>
      </c>
      <c r="AF14" s="15" t="n">
        <v>7.988e-05</v>
      </c>
      <c r="AG14" s="15" t="n">
        <v>7.908e-05</v>
      </c>
      <c r="AH14" s="15" t="n">
        <v>7.829e-05</v>
      </c>
      <c r="AI14" s="15" t="n">
        <v>7.750999999999999e-05</v>
      </c>
      <c r="AJ14" s="15" t="n">
        <v>7.674e-05</v>
      </c>
      <c r="AK14" s="15" t="n">
        <v>7.597000000000001e-05</v>
      </c>
      <c r="AL14" s="15" t="n">
        <v>7.521000000000001e-05</v>
      </c>
      <c r="AM14" s="15" t="n">
        <v>7.446e-05</v>
      </c>
      <c r="AN14" s="15" t="n">
        <v>7.371e-05</v>
      </c>
      <c r="AO14" s="15" t="n">
        <v>7.297e-05</v>
      </c>
      <c r="AP14" s="15" t="n">
        <v>7.224e-05</v>
      </c>
      <c r="AQ14" s="15" t="n">
        <v>7.152000000000001e-05</v>
      </c>
      <c r="AR14" s="15" t="n">
        <v>7.080999999999999e-05</v>
      </c>
      <c r="AS14" s="15" t="n">
        <v>7.01e-05</v>
      </c>
      <c r="AT14" s="15" t="n">
        <v>6.940000000000001e-05</v>
      </c>
      <c r="AU14" s="15" t="n">
        <v>6.87e-05</v>
      </c>
      <c r="AV14" s="15" t="n">
        <v>6.802e-05</v>
      </c>
      <c r="AW14" s="15" t="n">
        <v>6.734e-05</v>
      </c>
      <c r="AX14" s="15" t="n">
        <v>6.666e-05</v>
      </c>
      <c r="AY14" s="15" t="n">
        <v>6.600000000000001e-05</v>
      </c>
      <c r="AZ14" s="15" t="n">
        <v>6.533999999999999e-05</v>
      </c>
      <c r="BA14" s="15" t="n">
        <v>6.468e-05</v>
      </c>
      <c r="BB14" s="15" t="n">
        <v>6.404e-05</v>
      </c>
      <c r="BC14" s="15" t="n">
        <v>6.34e-05</v>
      </c>
      <c r="BD14" s="15" t="n">
        <v>6.276e-05</v>
      </c>
      <c r="BE14" s="15" t="n">
        <v>6.213e-05</v>
      </c>
      <c r="BF14" s="15" t="n">
        <v>6.151e-05</v>
      </c>
      <c r="BG14" s="15" t="n">
        <v>6.09e-05</v>
      </c>
      <c r="BH14" s="15" t="n">
        <v>6.029e-05</v>
      </c>
      <c r="BI14" s="15" t="n">
        <v>5.969e-05</v>
      </c>
      <c r="BJ14" s="15" t="n">
        <v>5.909e-05</v>
      </c>
      <c r="BK14" s="15" t="n">
        <v>5.85e-05</v>
      </c>
      <c r="BL14" s="15" t="n">
        <v>5.791e-05</v>
      </c>
      <c r="BM14" s="15" t="n">
        <v>5.733e-05</v>
      </c>
      <c r="BN14" s="15" t="n">
        <v>5.676e-05</v>
      </c>
      <c r="BO14" s="15" t="n">
        <v>5.619e-05</v>
      </c>
      <c r="BP14" s="15" t="n">
        <v>5.563e-05</v>
      </c>
      <c r="BQ14" s="15" t="n">
        <v>5.508e-05</v>
      </c>
      <c r="BR14" s="15" t="n">
        <v>5.452e-05</v>
      </c>
      <c r="BS14" s="15" t="n">
        <v>5.398e-05</v>
      </c>
      <c r="BT14" s="15" t="n">
        <v>5.344e-05</v>
      </c>
      <c r="BU14" s="15" t="n">
        <v>5.29e-05</v>
      </c>
      <c r="BV14" s="15" t="n">
        <v>5.238e-05</v>
      </c>
      <c r="BW14" s="15" t="n">
        <v>5.185e-05</v>
      </c>
      <c r="BX14" s="15" t="n">
        <v>5.133e-05</v>
      </c>
    </row>
    <row r="15">
      <c r="A15" t="n">
        <v>12</v>
      </c>
      <c r="B15" s="15" t="n">
        <v>0.00013454</v>
      </c>
      <c r="C15" s="15" t="n">
        <v>0.00013205</v>
      </c>
      <c r="D15" s="15" t="n">
        <v>0.0001298</v>
      </c>
      <c r="E15" s="15" t="n">
        <v>0.00012777</v>
      </c>
      <c r="F15" s="15" t="n">
        <v>0.00012594</v>
      </c>
      <c r="G15" s="15" t="n">
        <v>0.00012428</v>
      </c>
      <c r="H15" s="15" t="n">
        <v>0.00012278</v>
      </c>
      <c r="I15" s="15" t="n">
        <v>0.00012141</v>
      </c>
      <c r="J15" s="15" t="n">
        <v>0.00012012</v>
      </c>
      <c r="K15" s="15" t="n">
        <v>0.0001189</v>
      </c>
      <c r="L15" s="15" t="n">
        <v>0.00011772</v>
      </c>
      <c r="M15" s="15" t="n">
        <v>0.00011654</v>
      </c>
      <c r="N15" s="15" t="n">
        <v>0.00011537</v>
      </c>
      <c r="O15" s="15" t="n">
        <v>0.00011422</v>
      </c>
      <c r="P15" s="15" t="n">
        <v>0.00011308</v>
      </c>
      <c r="Q15" s="15" t="n">
        <v>0.00011195</v>
      </c>
      <c r="R15" s="15" t="n">
        <v>0.00011083</v>
      </c>
      <c r="S15" s="15" t="n">
        <v>0.00010972</v>
      </c>
      <c r="T15" s="15" t="n">
        <v>0.00010862</v>
      </c>
      <c r="U15" s="15" t="n">
        <v>0.00010754</v>
      </c>
      <c r="V15" s="15" t="n">
        <v>0.00010646</v>
      </c>
      <c r="W15" s="15" t="n">
        <v>0.0001054</v>
      </c>
      <c r="X15" s="15" t="n">
        <v>0.00010434</v>
      </c>
      <c r="Y15" s="15" t="n">
        <v>0.0001033</v>
      </c>
      <c r="Z15" s="15" t="n">
        <v>0.00010226</v>
      </c>
      <c r="AA15" s="15" t="n">
        <v>0.00010124</v>
      </c>
      <c r="AB15" s="15" t="n">
        <v>0.00010023</v>
      </c>
      <c r="AC15" s="15" t="n">
        <v>9.923e-05</v>
      </c>
      <c r="AD15" s="15" t="n">
        <v>9.823999999999999e-05</v>
      </c>
      <c r="AE15" s="15" t="n">
        <v>9.725000000000001e-05</v>
      </c>
      <c r="AF15" s="15" t="n">
        <v>9.628000000000001e-05</v>
      </c>
      <c r="AG15" s="15" t="n">
        <v>9.532e-05</v>
      </c>
      <c r="AH15" s="15" t="n">
        <v>9.436e-05</v>
      </c>
      <c r="AI15" s="15" t="n">
        <v>9.342e-05</v>
      </c>
      <c r="AJ15" s="15" t="n">
        <v>9.249e-05</v>
      </c>
      <c r="AK15" s="15" t="n">
        <v>9.156e-05</v>
      </c>
      <c r="AL15" s="15" t="n">
        <v>9.064999999999999e-05</v>
      </c>
      <c r="AM15" s="15" t="n">
        <v>8.974e-05</v>
      </c>
      <c r="AN15" s="15" t="n">
        <v>8.884e-05</v>
      </c>
      <c r="AO15" s="15" t="n">
        <v>8.795e-05</v>
      </c>
      <c r="AP15" s="15" t="n">
        <v>8.707e-05</v>
      </c>
      <c r="AQ15" s="15" t="n">
        <v>8.619999999999999e-05</v>
      </c>
      <c r="AR15" s="15" t="n">
        <v>8.534000000000001e-05</v>
      </c>
      <c r="AS15" s="15" t="n">
        <v>8.449e-05</v>
      </c>
      <c r="AT15" s="15" t="n">
        <v>8.364000000000001e-05</v>
      </c>
      <c r="AU15" s="15" t="n">
        <v>8.281e-05</v>
      </c>
      <c r="AV15" s="15" t="n">
        <v>8.198e-05</v>
      </c>
      <c r="AW15" s="15" t="n">
        <v>8.116e-05</v>
      </c>
      <c r="AX15" s="15" t="n">
        <v>8.035e-05</v>
      </c>
      <c r="AY15" s="15" t="n">
        <v>7.954e-05</v>
      </c>
      <c r="AZ15" s="15" t="n">
        <v>7.875e-05</v>
      </c>
      <c r="BA15" s="15" t="n">
        <v>7.796000000000001e-05</v>
      </c>
      <c r="BB15" s="15" t="n">
        <v>7.718e-05</v>
      </c>
      <c r="BC15" s="15" t="n">
        <v>7.641e-05</v>
      </c>
      <c r="BD15" s="15" t="n">
        <v>7.565e-05</v>
      </c>
      <c r="BE15" s="15" t="n">
        <v>7.489e-05</v>
      </c>
      <c r="BF15" s="15" t="n">
        <v>7.414000000000001e-05</v>
      </c>
      <c r="BG15" s="15" t="n">
        <v>7.34e-05</v>
      </c>
      <c r="BH15" s="15" t="n">
        <v>7.266e-05</v>
      </c>
      <c r="BI15" s="15" t="n">
        <v>7.194000000000001e-05</v>
      </c>
      <c r="BJ15" s="15" t="n">
        <v>7.122e-05</v>
      </c>
      <c r="BK15" s="15" t="n">
        <v>7.051e-05</v>
      </c>
      <c r="BL15" s="15" t="n">
        <v>6.98e-05</v>
      </c>
      <c r="BM15" s="15" t="n">
        <v>6.91e-05</v>
      </c>
      <c r="BN15" s="15" t="n">
        <v>6.841e-05</v>
      </c>
      <c r="BO15" s="15" t="n">
        <v>6.773e-05</v>
      </c>
      <c r="BP15" s="15" t="n">
        <v>6.705e-05</v>
      </c>
      <c r="BQ15" s="15" t="n">
        <v>6.638e-05</v>
      </c>
      <c r="BR15" s="15" t="n">
        <v>6.572e-05</v>
      </c>
      <c r="BS15" s="15" t="n">
        <v>6.506e-05</v>
      </c>
      <c r="BT15" s="15" t="n">
        <v>6.441e-05</v>
      </c>
      <c r="BU15" s="15" t="n">
        <v>6.376e-05</v>
      </c>
      <c r="BV15" s="15" t="n">
        <v>6.313e-05</v>
      </c>
      <c r="BW15" s="15" t="n">
        <v>6.25e-05</v>
      </c>
      <c r="BX15" s="15" t="n">
        <v>6.187e-05</v>
      </c>
    </row>
    <row r="16">
      <c r="A16" t="n">
        <v>13</v>
      </c>
      <c r="B16" s="15" t="n">
        <v>0.00017</v>
      </c>
      <c r="C16" s="15" t="n">
        <v>0.00016698</v>
      </c>
      <c r="D16" s="15" t="n">
        <v>0.00016424</v>
      </c>
      <c r="E16" s="15" t="n">
        <v>0.00016176</v>
      </c>
      <c r="F16" s="15" t="n">
        <v>0.0001595</v>
      </c>
      <c r="G16" s="15" t="n">
        <v>0.00015745</v>
      </c>
      <c r="H16" s="15" t="n">
        <v>0.00015558</v>
      </c>
      <c r="I16" s="15" t="n">
        <v>0.00015385</v>
      </c>
      <c r="J16" s="15" t="n">
        <v>0.00015224</v>
      </c>
      <c r="K16" s="15" t="n">
        <v>0.00015069</v>
      </c>
      <c r="L16" s="15" t="n">
        <v>0.00014919</v>
      </c>
      <c r="M16" s="15" t="n">
        <v>0.00014769</v>
      </c>
      <c r="N16" s="15" t="n">
        <v>0.00014622</v>
      </c>
      <c r="O16" s="15" t="n">
        <v>0.00014476</v>
      </c>
      <c r="P16" s="15" t="n">
        <v>0.00014331</v>
      </c>
      <c r="Q16" s="15" t="n">
        <v>0.00014188</v>
      </c>
      <c r="R16" s="15" t="n">
        <v>0.00014046</v>
      </c>
      <c r="S16" s="15" t="n">
        <v>0.00013905</v>
      </c>
      <c r="T16" s="15" t="n">
        <v>0.00013766</v>
      </c>
      <c r="U16" s="15" t="n">
        <v>0.00013628</v>
      </c>
      <c r="V16" s="15" t="n">
        <v>0.00013492</v>
      </c>
      <c r="W16" s="15" t="n">
        <v>0.00013357</v>
      </c>
      <c r="X16" s="15" t="n">
        <v>0.00013224</v>
      </c>
      <c r="Y16" s="15" t="n">
        <v>0.00013091</v>
      </c>
      <c r="Z16" s="15" t="n">
        <v>0.00012961</v>
      </c>
      <c r="AA16" s="15" t="n">
        <v>0.00012831</v>
      </c>
      <c r="AB16" s="15" t="n">
        <v>0.00012703</v>
      </c>
      <c r="AC16" s="15" t="n">
        <v>0.00012576</v>
      </c>
      <c r="AD16" s="15" t="n">
        <v>0.0001245</v>
      </c>
      <c r="AE16" s="15" t="n">
        <v>0.00012325</v>
      </c>
      <c r="AF16" s="15" t="n">
        <v>0.00012202</v>
      </c>
      <c r="AG16" s="15" t="n">
        <v>0.0001208</v>
      </c>
      <c r="AH16" s="15" t="n">
        <v>0.00011959</v>
      </c>
      <c r="AI16" s="15" t="n">
        <v>0.0001184</v>
      </c>
      <c r="AJ16" s="15" t="n">
        <v>0.00011721</v>
      </c>
      <c r="AK16" s="15" t="n">
        <v>0.00011604</v>
      </c>
      <c r="AL16" s="15" t="n">
        <v>0.00011488</v>
      </c>
      <c r="AM16" s="15" t="n">
        <v>0.00011373</v>
      </c>
      <c r="AN16" s="15" t="n">
        <v>0.00011259</v>
      </c>
      <c r="AO16" s="15" t="n">
        <v>0.00011147</v>
      </c>
      <c r="AP16" s="15" t="n">
        <v>0.00011035</v>
      </c>
      <c r="AQ16" s="15" t="n">
        <v>0.00010925</v>
      </c>
      <c r="AR16" s="15" t="n">
        <v>0.00010816</v>
      </c>
      <c r="AS16" s="15" t="n">
        <v>0.00010708</v>
      </c>
      <c r="AT16" s="15" t="n">
        <v>0.00010601</v>
      </c>
      <c r="AU16" s="15" t="n">
        <v>0.00010495</v>
      </c>
      <c r="AV16" s="15" t="n">
        <v>0.0001039</v>
      </c>
      <c r="AW16" s="15" t="n">
        <v>0.00010286</v>
      </c>
      <c r="AX16" s="15" t="n">
        <v>0.00010183</v>
      </c>
      <c r="AY16" s="15" t="n">
        <v>0.00010081</v>
      </c>
      <c r="AZ16" s="15" t="n">
        <v>9.98e-05</v>
      </c>
      <c r="BA16" s="15" t="n">
        <v>9.88e-05</v>
      </c>
      <c r="BB16" s="15" t="n">
        <v>9.782e-05</v>
      </c>
      <c r="BC16" s="15" t="n">
        <v>9.684e-05</v>
      </c>
      <c r="BD16" s="15" t="n">
        <v>9.587e-05</v>
      </c>
      <c r="BE16" s="15" t="n">
        <v>9.491e-05</v>
      </c>
      <c r="BF16" s="15" t="n">
        <v>9.396e-05</v>
      </c>
      <c r="BG16" s="15" t="n">
        <v>9.302e-05</v>
      </c>
      <c r="BH16" s="15" t="n">
        <v>9.208999999999999e-05</v>
      </c>
      <c r="BI16" s="15" t="n">
        <v>9.117e-05</v>
      </c>
      <c r="BJ16" s="15" t="n">
        <v>9.026000000000001e-05</v>
      </c>
      <c r="BK16" s="15" t="n">
        <v>8.936e-05</v>
      </c>
      <c r="BL16" s="15" t="n">
        <v>8.846e-05</v>
      </c>
      <c r="BM16" s="15" t="n">
        <v>8.758e-05</v>
      </c>
      <c r="BN16" s="15" t="n">
        <v>8.670000000000001e-05</v>
      </c>
      <c r="BO16" s="15" t="n">
        <v>8.584e-05</v>
      </c>
      <c r="BP16" s="15" t="n">
        <v>8.498e-05</v>
      </c>
      <c r="BQ16" s="15" t="n">
        <v>8.413e-05</v>
      </c>
      <c r="BR16" s="15" t="n">
        <v>8.329e-05</v>
      </c>
      <c r="BS16" s="15" t="n">
        <v>8.245e-05</v>
      </c>
      <c r="BT16" s="15" t="n">
        <v>8.163e-05</v>
      </c>
      <c r="BU16" s="15" t="n">
        <v>8.080999999999999e-05</v>
      </c>
      <c r="BV16" s="15" t="n">
        <v>8.000000000000001e-05</v>
      </c>
      <c r="BW16" s="15" t="n">
        <v>7.92e-05</v>
      </c>
      <c r="BX16" s="15" t="n">
        <v>7.841e-05</v>
      </c>
    </row>
    <row r="17">
      <c r="A17" t="n">
        <v>14</v>
      </c>
      <c r="B17" s="15" t="n">
        <v>0.00022468</v>
      </c>
      <c r="C17" s="15" t="n">
        <v>0.00022086</v>
      </c>
      <c r="D17" s="15" t="n">
        <v>0.00021737</v>
      </c>
      <c r="E17" s="15" t="n">
        <v>0.00021419</v>
      </c>
      <c r="F17" s="15" t="n">
        <v>0.00021129</v>
      </c>
      <c r="G17" s="15" t="n">
        <v>0.00020863</v>
      </c>
      <c r="H17" s="15" t="n">
        <v>0.00020619</v>
      </c>
      <c r="I17" s="15" t="n">
        <v>0.00020392</v>
      </c>
      <c r="J17" s="15" t="n">
        <v>0.00020179</v>
      </c>
      <c r="K17" s="15" t="n">
        <v>0.00019975</v>
      </c>
      <c r="L17" s="15" t="n">
        <v>0.00019775</v>
      </c>
      <c r="M17" s="15" t="n">
        <v>0.00019577</v>
      </c>
      <c r="N17" s="15" t="n">
        <v>0.00019381</v>
      </c>
      <c r="O17" s="15" t="n">
        <v>0.00019188</v>
      </c>
      <c r="P17" s="15" t="n">
        <v>0.00018996</v>
      </c>
      <c r="Q17" s="15" t="n">
        <v>0.00018806</v>
      </c>
      <c r="R17" s="15" t="n">
        <v>0.00018618</v>
      </c>
      <c r="S17" s="15" t="n">
        <v>0.00018431</v>
      </c>
      <c r="T17" s="15" t="n">
        <v>0.00018247</v>
      </c>
      <c r="U17" s="15" t="n">
        <v>0.00018065</v>
      </c>
      <c r="V17" s="15" t="n">
        <v>0.00017884</v>
      </c>
      <c r="W17" s="15" t="n">
        <v>0.00017705</v>
      </c>
      <c r="X17" s="15" t="n">
        <v>0.00017528</v>
      </c>
      <c r="Y17" s="15" t="n">
        <v>0.00017353</v>
      </c>
      <c r="Z17" s="15" t="n">
        <v>0.00017179</v>
      </c>
      <c r="AA17" s="15" t="n">
        <v>0.00017008</v>
      </c>
      <c r="AB17" s="15" t="n">
        <v>0.00016837</v>
      </c>
      <c r="AC17" s="15" t="n">
        <v>0.00016669</v>
      </c>
      <c r="AD17" s="15" t="n">
        <v>0.00016502</v>
      </c>
      <c r="AE17" s="15" t="n">
        <v>0.00016337</v>
      </c>
      <c r="AF17" s="15" t="n">
        <v>0.00016174</v>
      </c>
      <c r="AG17" s="15" t="n">
        <v>0.00016012</v>
      </c>
      <c r="AH17" s="15" t="n">
        <v>0.00015852</v>
      </c>
      <c r="AI17" s="15" t="n">
        <v>0.00015694</v>
      </c>
      <c r="AJ17" s="15" t="n">
        <v>0.00015537</v>
      </c>
      <c r="AK17" s="15" t="n">
        <v>0.00015381</v>
      </c>
      <c r="AL17" s="15" t="n">
        <v>0.00015227</v>
      </c>
      <c r="AM17" s="15" t="n">
        <v>0.00015075</v>
      </c>
      <c r="AN17" s="15" t="n">
        <v>0.00014924</v>
      </c>
      <c r="AO17" s="15" t="n">
        <v>0.00014775</v>
      </c>
      <c r="AP17" s="15" t="n">
        <v>0.00014627</v>
      </c>
      <c r="AQ17" s="15" t="n">
        <v>0.00014481</v>
      </c>
      <c r="AR17" s="15" t="n">
        <v>0.00014336</v>
      </c>
      <c r="AS17" s="15" t="n">
        <v>0.00014193</v>
      </c>
      <c r="AT17" s="15" t="n">
        <v>0.00014051</v>
      </c>
      <c r="AU17" s="15" t="n">
        <v>0.00013911</v>
      </c>
      <c r="AV17" s="15" t="n">
        <v>0.00013771</v>
      </c>
      <c r="AW17" s="15" t="n">
        <v>0.00013634</v>
      </c>
      <c r="AX17" s="15" t="n">
        <v>0.00013497</v>
      </c>
      <c r="AY17" s="15" t="n">
        <v>0.00013362</v>
      </c>
      <c r="AZ17" s="15" t="n">
        <v>0.00013229</v>
      </c>
      <c r="BA17" s="15" t="n">
        <v>0.00013097</v>
      </c>
      <c r="BB17" s="15" t="n">
        <v>0.00012966</v>
      </c>
      <c r="BC17" s="15" t="n">
        <v>0.00012836</v>
      </c>
      <c r="BD17" s="15" t="n">
        <v>0.00012708</v>
      </c>
      <c r="BE17" s="15" t="n">
        <v>0.0001258</v>
      </c>
      <c r="BF17" s="15" t="n">
        <v>0.00012455</v>
      </c>
      <c r="BG17" s="15" t="n">
        <v>0.0001233</v>
      </c>
      <c r="BH17" s="15" t="n">
        <v>0.00012207</v>
      </c>
      <c r="BI17" s="15" t="n">
        <v>0.00012085</v>
      </c>
      <c r="BJ17" s="15" t="n">
        <v>0.00011964</v>
      </c>
      <c r="BK17" s="15" t="n">
        <v>0.00011844</v>
      </c>
      <c r="BL17" s="15" t="n">
        <v>0.00011726</v>
      </c>
      <c r="BM17" s="15" t="n">
        <v>0.00011609</v>
      </c>
      <c r="BN17" s="15" t="n">
        <v>0.00011492</v>
      </c>
      <c r="BO17" s="15" t="n">
        <v>0.00011378</v>
      </c>
      <c r="BP17" s="15" t="n">
        <v>0.00011264</v>
      </c>
      <c r="BQ17" s="15" t="n">
        <v>0.00011151</v>
      </c>
      <c r="BR17" s="15" t="n">
        <v>0.0001104</v>
      </c>
      <c r="BS17" s="15" t="n">
        <v>0.00010929</v>
      </c>
      <c r="BT17" s="15" t="n">
        <v>0.0001082</v>
      </c>
      <c r="BU17" s="15" t="n">
        <v>0.00010712</v>
      </c>
      <c r="BV17" s="15" t="n">
        <v>0.00010605</v>
      </c>
      <c r="BW17" s="15" t="n">
        <v>0.00010499</v>
      </c>
      <c r="BX17" s="15" t="n">
        <v>0.00010394</v>
      </c>
    </row>
    <row r="18">
      <c r="A18" t="n">
        <v>15</v>
      </c>
      <c r="B18" s="15" t="n">
        <v>0.00030446</v>
      </c>
      <c r="C18" s="15" t="n">
        <v>0.00029949</v>
      </c>
      <c r="D18" s="15" t="n">
        <v>0.00029494</v>
      </c>
      <c r="E18" s="15" t="n">
        <v>0.00029076</v>
      </c>
      <c r="F18" s="15" t="n">
        <v>0.00028692</v>
      </c>
      <c r="G18" s="15" t="n">
        <v>0.00028339</v>
      </c>
      <c r="H18" s="15" t="n">
        <v>0.00028012</v>
      </c>
      <c r="I18" s="15" t="n">
        <v>0.00027706</v>
      </c>
      <c r="J18" s="15" t="n">
        <v>0.00027418</v>
      </c>
      <c r="K18" s="15" t="n">
        <v>0.00027141</v>
      </c>
      <c r="L18" s="15" t="n">
        <v>0.00026869</v>
      </c>
      <c r="M18" s="15" t="n">
        <v>0.000266</v>
      </c>
      <c r="N18" s="15" t="n">
        <v>0.00026334</v>
      </c>
      <c r="O18" s="15" t="n">
        <v>0.00026071</v>
      </c>
      <c r="P18" s="15" t="n">
        <v>0.0002581</v>
      </c>
      <c r="Q18" s="15" t="n">
        <v>0.00025552</v>
      </c>
      <c r="R18" s="15" t="n">
        <v>0.00025297</v>
      </c>
      <c r="S18" s="15" t="n">
        <v>0.00025044</v>
      </c>
      <c r="T18" s="15" t="n">
        <v>0.00024793</v>
      </c>
      <c r="U18" s="15" t="n">
        <v>0.00024545</v>
      </c>
      <c r="V18" s="15" t="n">
        <v>0.000243</v>
      </c>
      <c r="W18" s="15" t="n">
        <v>0.00024057</v>
      </c>
      <c r="X18" s="15" t="n">
        <v>0.00023816</v>
      </c>
      <c r="Y18" s="15" t="n">
        <v>0.00023578</v>
      </c>
      <c r="Z18" s="15" t="n">
        <v>0.00023342</v>
      </c>
      <c r="AA18" s="15" t="n">
        <v>0.00023109</v>
      </c>
      <c r="AB18" s="15" t="n">
        <v>0.00022878</v>
      </c>
      <c r="AC18" s="15" t="n">
        <v>0.00022649</v>
      </c>
      <c r="AD18" s="15" t="n">
        <v>0.00022423</v>
      </c>
      <c r="AE18" s="15" t="n">
        <v>0.00022198</v>
      </c>
      <c r="AF18" s="15" t="n">
        <v>0.00021976</v>
      </c>
      <c r="AG18" s="15" t="n">
        <v>0.00021757</v>
      </c>
      <c r="AH18" s="15" t="n">
        <v>0.00021539</v>
      </c>
      <c r="AI18" s="15" t="n">
        <v>0.00021324</v>
      </c>
      <c r="AJ18" s="15" t="n">
        <v>0.00021111</v>
      </c>
      <c r="AK18" s="15" t="n">
        <v>0.00020899</v>
      </c>
      <c r="AL18" s="15" t="n">
        <v>0.0002069</v>
      </c>
      <c r="AM18" s="15" t="n">
        <v>0.00020484</v>
      </c>
      <c r="AN18" s="15" t="n">
        <v>0.00020279</v>
      </c>
      <c r="AO18" s="15" t="n">
        <v>0.00020076</v>
      </c>
      <c r="AP18" s="15" t="n">
        <v>0.00019875</v>
      </c>
      <c r="AQ18" s="15" t="n">
        <v>0.00019676</v>
      </c>
      <c r="AR18" s="15" t="n">
        <v>0.0001948</v>
      </c>
      <c r="AS18" s="15" t="n">
        <v>0.00019285</v>
      </c>
      <c r="AT18" s="15" t="n">
        <v>0.00019092</v>
      </c>
      <c r="AU18" s="15" t="n">
        <v>0.00018901</v>
      </c>
      <c r="AV18" s="15" t="n">
        <v>0.00018712</v>
      </c>
      <c r="AW18" s="15" t="n">
        <v>0.00018525</v>
      </c>
      <c r="AX18" s="15" t="n">
        <v>0.0001834</v>
      </c>
      <c r="AY18" s="15" t="n">
        <v>0.00018156</v>
      </c>
      <c r="AZ18" s="15" t="n">
        <v>0.00017975</v>
      </c>
      <c r="BA18" s="15" t="n">
        <v>0.00017795</v>
      </c>
      <c r="BB18" s="15" t="n">
        <v>0.00017617</v>
      </c>
      <c r="BC18" s="15" t="n">
        <v>0.00017441</v>
      </c>
      <c r="BD18" s="15" t="n">
        <v>0.00017266</v>
      </c>
      <c r="BE18" s="15" t="n">
        <v>0.00017094</v>
      </c>
      <c r="BF18" s="15" t="n">
        <v>0.00016923</v>
      </c>
      <c r="BG18" s="15" t="n">
        <v>0.00016754</v>
      </c>
      <c r="BH18" s="15" t="n">
        <v>0.00016586</v>
      </c>
      <c r="BI18" s="15" t="n">
        <v>0.0001642</v>
      </c>
      <c r="BJ18" s="15" t="n">
        <v>0.00016256</v>
      </c>
      <c r="BK18" s="15" t="n">
        <v>0.00016093</v>
      </c>
      <c r="BL18" s="15" t="n">
        <v>0.00015933</v>
      </c>
      <c r="BM18" s="15" t="n">
        <v>0.00015773</v>
      </c>
      <c r="BN18" s="15" t="n">
        <v>0.00015615</v>
      </c>
      <c r="BO18" s="15" t="n">
        <v>0.00015459</v>
      </c>
      <c r="BP18" s="15" t="n">
        <v>0.00015305</v>
      </c>
      <c r="BQ18" s="15" t="n">
        <v>0.00015152</v>
      </c>
      <c r="BR18" s="15" t="n">
        <v>0.00015</v>
      </c>
      <c r="BS18" s="15" t="n">
        <v>0.0001485</v>
      </c>
      <c r="BT18" s="15" t="n">
        <v>0.00014702</v>
      </c>
      <c r="BU18" s="15" t="n">
        <v>0.00014555</v>
      </c>
      <c r="BV18" s="15" t="n">
        <v>0.00014409</v>
      </c>
      <c r="BW18" s="15" t="n">
        <v>0.00014265</v>
      </c>
      <c r="BX18" s="15" t="n">
        <v>0.00014122</v>
      </c>
    </row>
    <row r="19">
      <c r="A19" t="n">
        <v>16</v>
      </c>
      <c r="B19" s="15" t="n">
        <v>0.00040748</v>
      </c>
      <c r="C19" s="15" t="n">
        <v>0.00040109</v>
      </c>
      <c r="D19" s="15" t="n">
        <v>0.00039519</v>
      </c>
      <c r="E19" s="15" t="n">
        <v>0.00038975</v>
      </c>
      <c r="F19" s="15" t="n">
        <v>0.00038473</v>
      </c>
      <c r="G19" s="15" t="n">
        <v>0.00038008</v>
      </c>
      <c r="H19" s="15" t="n">
        <v>0.00037575</v>
      </c>
      <c r="I19" s="15" t="n">
        <v>0.00037169</v>
      </c>
      <c r="J19" s="15" t="n">
        <v>0.00036783</v>
      </c>
      <c r="K19" s="15" t="n">
        <v>0.00036412</v>
      </c>
      <c r="L19" s="15" t="n">
        <v>0.00036048</v>
      </c>
      <c r="M19" s="15" t="n">
        <v>0.00035687</v>
      </c>
      <c r="N19" s="15" t="n">
        <v>0.00035331</v>
      </c>
      <c r="O19" s="15" t="n">
        <v>0.00034977</v>
      </c>
      <c r="P19" s="15" t="n">
        <v>0.00034628</v>
      </c>
      <c r="Q19" s="15" t="n">
        <v>0.00034281</v>
      </c>
      <c r="R19" s="15" t="n">
        <v>0.00033938</v>
      </c>
      <c r="S19" s="15" t="n">
        <v>0.00033599</v>
      </c>
      <c r="T19" s="15" t="n">
        <v>0.00033263</v>
      </c>
      <c r="U19" s="15" t="n">
        <v>0.0003293</v>
      </c>
      <c r="V19" s="15" t="n">
        <v>0.00032601</v>
      </c>
      <c r="W19" s="15" t="n">
        <v>0.00032275</v>
      </c>
      <c r="X19" s="15" t="n">
        <v>0.00031952</v>
      </c>
      <c r="Y19" s="15" t="n">
        <v>0.00031633</v>
      </c>
      <c r="Z19" s="15" t="n">
        <v>0.00031317</v>
      </c>
      <c r="AA19" s="15" t="n">
        <v>0.00031003</v>
      </c>
      <c r="AB19" s="15" t="n">
        <v>0.00030693</v>
      </c>
      <c r="AC19" s="15" t="n">
        <v>0.00030386</v>
      </c>
      <c r="AD19" s="15" t="n">
        <v>0.00030083</v>
      </c>
      <c r="AE19" s="15" t="n">
        <v>0.00029782</v>
      </c>
      <c r="AF19" s="15" t="n">
        <v>0.00029484</v>
      </c>
      <c r="AG19" s="15" t="n">
        <v>0.00029189</v>
      </c>
      <c r="AH19" s="15" t="n">
        <v>0.00028897</v>
      </c>
      <c r="AI19" s="15" t="n">
        <v>0.00028608</v>
      </c>
      <c r="AJ19" s="15" t="n">
        <v>0.00028322</v>
      </c>
      <c r="AK19" s="15" t="n">
        <v>0.00028039</v>
      </c>
      <c r="AL19" s="15" t="n">
        <v>0.00027758</v>
      </c>
      <c r="AM19" s="15" t="n">
        <v>0.00027481</v>
      </c>
      <c r="AN19" s="15" t="n">
        <v>0.00027206</v>
      </c>
      <c r="AO19" s="15" t="n">
        <v>0.00026934</v>
      </c>
      <c r="AP19" s="15" t="n">
        <v>0.00026665</v>
      </c>
      <c r="AQ19" s="15" t="n">
        <v>0.00026398</v>
      </c>
      <c r="AR19" s="15" t="n">
        <v>0.00026134</v>
      </c>
      <c r="AS19" s="15" t="n">
        <v>0.00025873</v>
      </c>
      <c r="AT19" s="15" t="n">
        <v>0.00025614</v>
      </c>
      <c r="AU19" s="15" t="n">
        <v>0.00025358</v>
      </c>
      <c r="AV19" s="15" t="n">
        <v>0.00025104</v>
      </c>
      <c r="AW19" s="15" t="n">
        <v>0.00024853</v>
      </c>
      <c r="AX19" s="15" t="n">
        <v>0.00024605</v>
      </c>
      <c r="AY19" s="15" t="n">
        <v>0.00024359</v>
      </c>
      <c r="AZ19" s="15" t="n">
        <v>0.00024115</v>
      </c>
      <c r="BA19" s="15" t="n">
        <v>0.00023874</v>
      </c>
      <c r="BB19" s="15" t="n">
        <v>0.00023635</v>
      </c>
      <c r="BC19" s="15" t="n">
        <v>0.00023399</v>
      </c>
      <c r="BD19" s="15" t="n">
        <v>0.00023165</v>
      </c>
      <c r="BE19" s="15" t="n">
        <v>0.00022933</v>
      </c>
      <c r="BF19" s="15" t="n">
        <v>0.00022704</v>
      </c>
      <c r="BG19" s="15" t="n">
        <v>0.00022477</v>
      </c>
      <c r="BH19" s="15" t="n">
        <v>0.00022252</v>
      </c>
      <c r="BI19" s="15" t="n">
        <v>0.0002203</v>
      </c>
      <c r="BJ19" s="15" t="n">
        <v>0.00021809</v>
      </c>
      <c r="BK19" s="15" t="n">
        <v>0.00021591</v>
      </c>
      <c r="BL19" s="15" t="n">
        <v>0.00021375</v>
      </c>
      <c r="BM19" s="15" t="n">
        <v>0.00021161</v>
      </c>
      <c r="BN19" s="15" t="n">
        <v>0.0002095</v>
      </c>
      <c r="BO19" s="15" t="n">
        <v>0.0002074</v>
      </c>
      <c r="BP19" s="15" t="n">
        <v>0.00020533</v>
      </c>
      <c r="BQ19" s="15" t="n">
        <v>0.00020328</v>
      </c>
      <c r="BR19" s="15" t="n">
        <v>0.00020124</v>
      </c>
      <c r="BS19" s="15" t="n">
        <v>0.00019923</v>
      </c>
      <c r="BT19" s="15" t="n">
        <v>0.00019724</v>
      </c>
      <c r="BU19" s="15" t="n">
        <v>0.00019527</v>
      </c>
      <c r="BV19" s="15" t="n">
        <v>0.00019331</v>
      </c>
      <c r="BW19" s="15" t="n">
        <v>0.00019138</v>
      </c>
      <c r="BX19" s="15" t="n">
        <v>0.00018947</v>
      </c>
    </row>
    <row r="20">
      <c r="A20" t="n">
        <v>17</v>
      </c>
      <c r="B20" s="15" t="n">
        <v>0.00051999</v>
      </c>
      <c r="C20" s="15" t="n">
        <v>0.00051211</v>
      </c>
      <c r="D20" s="15" t="n">
        <v>0.00050481</v>
      </c>
      <c r="E20" s="15" t="n">
        <v>0.00049804</v>
      </c>
      <c r="F20" s="15" t="n">
        <v>0.00049175</v>
      </c>
      <c r="G20" s="15" t="n">
        <v>0.0004859</v>
      </c>
      <c r="H20" s="15" t="n">
        <v>0.00048043</v>
      </c>
      <c r="I20" s="15" t="n">
        <v>0.00047527</v>
      </c>
      <c r="J20" s="15" t="n">
        <v>0.00047036</v>
      </c>
      <c r="K20" s="15" t="n">
        <v>0.00046561</v>
      </c>
      <c r="L20" s="15" t="n">
        <v>0.00046096</v>
      </c>
      <c r="M20" s="15" t="n">
        <v>0.00045635</v>
      </c>
      <c r="N20" s="15" t="n">
        <v>0.00045178</v>
      </c>
      <c r="O20" s="15" t="n">
        <v>0.00044727</v>
      </c>
      <c r="P20" s="15" t="n">
        <v>0.00044279</v>
      </c>
      <c r="Q20" s="15" t="n">
        <v>0.00043837</v>
      </c>
      <c r="R20" s="15" t="n">
        <v>0.00043398</v>
      </c>
      <c r="S20" s="15" t="n">
        <v>0.00042964</v>
      </c>
      <c r="T20" s="15" t="n">
        <v>0.00042535</v>
      </c>
      <c r="U20" s="15" t="n">
        <v>0.00042109</v>
      </c>
      <c r="V20" s="15" t="n">
        <v>0.00041688</v>
      </c>
      <c r="W20" s="15" t="n">
        <v>0.00041271</v>
      </c>
      <c r="X20" s="15" t="n">
        <v>0.00040859</v>
      </c>
      <c r="Y20" s="15" t="n">
        <v>0.0004045</v>
      </c>
      <c r="Z20" s="15" t="n">
        <v>0.00040046</v>
      </c>
      <c r="AA20" s="15" t="n">
        <v>0.00039645</v>
      </c>
      <c r="AB20" s="15" t="n">
        <v>0.00039249</v>
      </c>
      <c r="AC20" s="15" t="n">
        <v>0.00038856</v>
      </c>
      <c r="AD20" s="15" t="n">
        <v>0.00038468</v>
      </c>
      <c r="AE20" s="15" t="n">
        <v>0.00038083</v>
      </c>
      <c r="AF20" s="15" t="n">
        <v>0.00037702</v>
      </c>
      <c r="AG20" s="15" t="n">
        <v>0.00037325</v>
      </c>
      <c r="AH20" s="15" t="n">
        <v>0.00036952</v>
      </c>
      <c r="AI20" s="15" t="n">
        <v>0.00036582</v>
      </c>
      <c r="AJ20" s="15" t="n">
        <v>0.00036216</v>
      </c>
      <c r="AK20" s="15" t="n">
        <v>0.00035854</v>
      </c>
      <c r="AL20" s="15" t="n">
        <v>0.00035496</v>
      </c>
      <c r="AM20" s="15" t="n">
        <v>0.00035141</v>
      </c>
      <c r="AN20" s="15" t="n">
        <v>0.00034789</v>
      </c>
      <c r="AO20" s="15" t="n">
        <v>0.00034441</v>
      </c>
      <c r="AP20" s="15" t="n">
        <v>0.00034097</v>
      </c>
      <c r="AQ20" s="15" t="n">
        <v>0.00033756</v>
      </c>
      <c r="AR20" s="15" t="n">
        <v>0.00033419</v>
      </c>
      <c r="AS20" s="15" t="n">
        <v>0.00033084</v>
      </c>
      <c r="AT20" s="15" t="n">
        <v>0.00032753</v>
      </c>
      <c r="AU20" s="15" t="n">
        <v>0.00032426</v>
      </c>
      <c r="AV20" s="15" t="n">
        <v>0.00032102</v>
      </c>
      <c r="AW20" s="15" t="n">
        <v>0.00031781</v>
      </c>
      <c r="AX20" s="15" t="n">
        <v>0.00031463</v>
      </c>
      <c r="AY20" s="15" t="n">
        <v>0.00031148</v>
      </c>
      <c r="AZ20" s="15" t="n">
        <v>0.00030837</v>
      </c>
      <c r="BA20" s="15" t="n">
        <v>0.00030528</v>
      </c>
      <c r="BB20" s="15" t="n">
        <v>0.00030223</v>
      </c>
      <c r="BC20" s="15" t="n">
        <v>0.00029921</v>
      </c>
      <c r="BD20" s="15" t="n">
        <v>0.00029622</v>
      </c>
      <c r="BE20" s="15" t="n">
        <v>0.00029325</v>
      </c>
      <c r="BF20" s="15" t="n">
        <v>0.00029032</v>
      </c>
      <c r="BG20" s="15" t="n">
        <v>0.00028742</v>
      </c>
      <c r="BH20" s="15" t="n">
        <v>0.00028454</v>
      </c>
      <c r="BI20" s="15" t="n">
        <v>0.0002817</v>
      </c>
      <c r="BJ20" s="15" t="n">
        <v>0.00027888</v>
      </c>
      <c r="BK20" s="15" t="n">
        <v>0.00027609</v>
      </c>
      <c r="BL20" s="15" t="n">
        <v>0.00027333</v>
      </c>
      <c r="BM20" s="15" t="n">
        <v>0.0002706</v>
      </c>
      <c r="BN20" s="15" t="n">
        <v>0.00026789</v>
      </c>
      <c r="BO20" s="15" t="n">
        <v>0.00026521</v>
      </c>
      <c r="BP20" s="15" t="n">
        <v>0.00026256</v>
      </c>
      <c r="BQ20" s="15" t="n">
        <v>0.00025994</v>
      </c>
      <c r="BR20" s="15" t="n">
        <v>0.00025734</v>
      </c>
      <c r="BS20" s="15" t="n">
        <v>0.00025476</v>
      </c>
      <c r="BT20" s="15" t="n">
        <v>0.00025222</v>
      </c>
      <c r="BU20" s="15" t="n">
        <v>0.00024969</v>
      </c>
      <c r="BV20" s="15" t="n">
        <v>0.0002472</v>
      </c>
      <c r="BW20" s="15" t="n">
        <v>0.00024472</v>
      </c>
      <c r="BX20" s="15" t="n">
        <v>0.00024228</v>
      </c>
    </row>
    <row r="21">
      <c r="A21" t="n">
        <v>18</v>
      </c>
      <c r="B21" s="15" t="n">
        <v>0.00062194</v>
      </c>
      <c r="C21" s="15" t="n">
        <v>0.0006127800000000001</v>
      </c>
      <c r="D21" s="15" t="n">
        <v>0.00060424</v>
      </c>
      <c r="E21" s="15" t="n">
        <v>0.0005963</v>
      </c>
      <c r="F21" s="15" t="n">
        <v>0.0005888999999999999</v>
      </c>
      <c r="G21" s="15" t="n">
        <v>0.00058199</v>
      </c>
      <c r="H21" s="15" t="n">
        <v>0.00057549</v>
      </c>
      <c r="I21" s="15" t="n">
        <v>0.00056935</v>
      </c>
      <c r="J21" s="15" t="n">
        <v>0.00056348</v>
      </c>
      <c r="K21" s="15" t="n">
        <v>0.00055779</v>
      </c>
      <c r="L21" s="15" t="n">
        <v>0.00055222</v>
      </c>
      <c r="M21" s="15" t="n">
        <v>0.00054669</v>
      </c>
      <c r="N21" s="15" t="n">
        <v>0.00054123</v>
      </c>
      <c r="O21" s="15" t="n">
        <v>0.00053582</v>
      </c>
      <c r="P21" s="15" t="n">
        <v>0.00053046</v>
      </c>
      <c r="Q21" s="15" t="n">
        <v>0.0005251500000000001</v>
      </c>
      <c r="R21" s="15" t="n">
        <v>0.0005199</v>
      </c>
      <c r="S21" s="15" t="n">
        <v>0.0005147</v>
      </c>
      <c r="T21" s="15" t="n">
        <v>0.00050956</v>
      </c>
      <c r="U21" s="15" t="n">
        <v>0.00050446</v>
      </c>
      <c r="V21" s="15" t="n">
        <v>0.00049942</v>
      </c>
      <c r="W21" s="15" t="n">
        <v>0.00049442</v>
      </c>
      <c r="X21" s="15" t="n">
        <v>0.00048948</v>
      </c>
      <c r="Y21" s="15" t="n">
        <v>0.00048458</v>
      </c>
      <c r="Z21" s="15" t="n">
        <v>0.00047974</v>
      </c>
      <c r="AA21" s="15" t="n">
        <v>0.00047494</v>
      </c>
      <c r="AB21" s="15" t="n">
        <v>0.00047019</v>
      </c>
      <c r="AC21" s="15" t="n">
        <v>0.00046549</v>
      </c>
      <c r="AD21" s="15" t="n">
        <v>0.00046083</v>
      </c>
      <c r="AE21" s="15" t="n">
        <v>0.00045622</v>
      </c>
      <c r="AF21" s="15" t="n">
        <v>0.00045166</v>
      </c>
      <c r="AG21" s="15" t="n">
        <v>0.00044715</v>
      </c>
      <c r="AH21" s="15" t="n">
        <v>0.00044267</v>
      </c>
      <c r="AI21" s="15" t="n">
        <v>0.00043825</v>
      </c>
      <c r="AJ21" s="15" t="n">
        <v>0.00043386</v>
      </c>
      <c r="AK21" s="15" t="n">
        <v>0.00042953</v>
      </c>
      <c r="AL21" s="15" t="n">
        <v>0.00042523</v>
      </c>
      <c r="AM21" s="15" t="n">
        <v>0.00042098</v>
      </c>
      <c r="AN21" s="15" t="n">
        <v>0.00041677</v>
      </c>
      <c r="AO21" s="15" t="n">
        <v>0.0004126</v>
      </c>
      <c r="AP21" s="15" t="n">
        <v>0.00040848</v>
      </c>
      <c r="AQ21" s="15" t="n">
        <v>0.00040439</v>
      </c>
      <c r="AR21" s="15" t="n">
        <v>0.00040035</v>
      </c>
      <c r="AS21" s="15" t="n">
        <v>0.00039634</v>
      </c>
      <c r="AT21" s="15" t="n">
        <v>0.00039238</v>
      </c>
      <c r="AU21" s="15" t="n">
        <v>0.00038846</v>
      </c>
      <c r="AV21" s="15" t="n">
        <v>0.00038457</v>
      </c>
      <c r="AW21" s="15" t="n">
        <v>0.00038073</v>
      </c>
      <c r="AX21" s="15" t="n">
        <v>0.00037692</v>
      </c>
      <c r="AY21" s="15" t="n">
        <v>0.00037315</v>
      </c>
      <c r="AZ21" s="15" t="n">
        <v>0.00036942</v>
      </c>
      <c r="BA21" s="15" t="n">
        <v>0.00036572</v>
      </c>
      <c r="BB21" s="15" t="n">
        <v>0.00036207</v>
      </c>
      <c r="BC21" s="15" t="n">
        <v>0.00035845</v>
      </c>
      <c r="BD21" s="15" t="n">
        <v>0.00035486</v>
      </c>
      <c r="BE21" s="15" t="n">
        <v>0.00035131</v>
      </c>
      <c r="BF21" s="15" t="n">
        <v>0.0003478</v>
      </c>
      <c r="BG21" s="15" t="n">
        <v>0.00034432</v>
      </c>
      <c r="BH21" s="15" t="n">
        <v>0.00034088</v>
      </c>
      <c r="BI21" s="15" t="n">
        <v>0.00033747</v>
      </c>
      <c r="BJ21" s="15" t="n">
        <v>0.00033409</v>
      </c>
      <c r="BK21" s="15" t="n">
        <v>0.00033075</v>
      </c>
      <c r="BL21" s="15" t="n">
        <v>0.00032745</v>
      </c>
      <c r="BM21" s="15" t="n">
        <v>0.00032417</v>
      </c>
      <c r="BN21" s="15" t="n">
        <v>0.00032093</v>
      </c>
      <c r="BO21" s="15" t="n">
        <v>0.00031772</v>
      </c>
      <c r="BP21" s="15" t="n">
        <v>0.00031454</v>
      </c>
      <c r="BQ21" s="15" t="n">
        <v>0.0003114</v>
      </c>
      <c r="BR21" s="15" t="n">
        <v>0.00030828</v>
      </c>
      <c r="BS21" s="15" t="n">
        <v>0.0003052</v>
      </c>
      <c r="BT21" s="15" t="n">
        <v>0.00030215</v>
      </c>
      <c r="BU21" s="15" t="n">
        <v>0.00029913</v>
      </c>
      <c r="BV21" s="15" t="n">
        <v>0.00029614</v>
      </c>
      <c r="BW21" s="15" t="n">
        <v>0.00029318</v>
      </c>
      <c r="BX21" s="15" t="n">
        <v>0.00029024</v>
      </c>
    </row>
    <row r="22">
      <c r="A22" t="n">
        <v>19</v>
      </c>
      <c r="B22" s="15" t="n">
        <v>0.00069562</v>
      </c>
      <c r="C22" s="15" t="n">
        <v>0.00068558</v>
      </c>
      <c r="D22" s="15" t="n">
        <v>0.0006762</v>
      </c>
      <c r="E22" s="15" t="n">
        <v>0.00066745</v>
      </c>
      <c r="F22" s="15" t="n">
        <v>0.00065927</v>
      </c>
      <c r="G22" s="15" t="n">
        <v>0.0006516</v>
      </c>
      <c r="H22" s="15" t="n">
        <v>0.00064438</v>
      </c>
      <c r="I22" s="15" t="n">
        <v>0.00063753</v>
      </c>
      <c r="J22" s="15" t="n">
        <v>0.00063096</v>
      </c>
      <c r="K22" s="15" t="n">
        <v>0.0006246100000000001</v>
      </c>
      <c r="L22" s="15" t="n">
        <v>0.00061836</v>
      </c>
      <c r="M22" s="15" t="n">
        <v>0.00061218</v>
      </c>
      <c r="N22" s="15" t="n">
        <v>0.00060606</v>
      </c>
      <c r="O22" s="15" t="n">
        <v>0.0005999999999999999</v>
      </c>
      <c r="P22" s="15" t="n">
        <v>0.000594</v>
      </c>
      <c r="Q22" s="15" t="n">
        <v>0.0005880599999999999</v>
      </c>
      <c r="R22" s="15" t="n">
        <v>0.00058217</v>
      </c>
      <c r="S22" s="15" t="n">
        <v>0.00057635</v>
      </c>
      <c r="T22" s="15" t="n">
        <v>0.0005705900000000001</v>
      </c>
      <c r="U22" s="15" t="n">
        <v>0.00056488</v>
      </c>
      <c r="V22" s="15" t="n">
        <v>0.00055923</v>
      </c>
      <c r="W22" s="15" t="n">
        <v>0.00055364</v>
      </c>
      <c r="X22" s="15" t="n">
        <v>0.00054811</v>
      </c>
      <c r="Y22" s="15" t="n">
        <v>0.00054262</v>
      </c>
      <c r="Z22" s="15" t="n">
        <v>0.0005372</v>
      </c>
      <c r="AA22" s="15" t="n">
        <v>0.00053183</v>
      </c>
      <c r="AB22" s="15" t="n">
        <v>0.00052651</v>
      </c>
      <c r="AC22" s="15" t="n">
        <v>0.00052124</v>
      </c>
      <c r="AD22" s="15" t="n">
        <v>0.00051603</v>
      </c>
      <c r="AE22" s="15" t="n">
        <v>0.00051087</v>
      </c>
      <c r="AF22" s="15" t="n">
        <v>0.00050576</v>
      </c>
      <c r="AG22" s="15" t="n">
        <v>0.0005007</v>
      </c>
      <c r="AH22" s="15" t="n">
        <v>0.0004957</v>
      </c>
      <c r="AI22" s="15" t="n">
        <v>0.00049074</v>
      </c>
      <c r="AJ22" s="15" t="n">
        <v>0.00048583</v>
      </c>
      <c r="AK22" s="15" t="n">
        <v>0.00048097</v>
      </c>
      <c r="AL22" s="15" t="n">
        <v>0.00047616</v>
      </c>
      <c r="AM22" s="15" t="n">
        <v>0.0004714</v>
      </c>
      <c r="AN22" s="15" t="n">
        <v>0.00046669</v>
      </c>
      <c r="AO22" s="15" t="n">
        <v>0.00046202</v>
      </c>
      <c r="AP22" s="15" t="n">
        <v>0.0004574</v>
      </c>
      <c r="AQ22" s="15" t="n">
        <v>0.00045283</v>
      </c>
      <c r="AR22" s="15" t="n">
        <v>0.0004483</v>
      </c>
      <c r="AS22" s="15" t="n">
        <v>0.00044382</v>
      </c>
      <c r="AT22" s="15" t="n">
        <v>0.00043938</v>
      </c>
      <c r="AU22" s="15" t="n">
        <v>0.00043498</v>
      </c>
      <c r="AV22" s="15" t="n">
        <v>0.00043063</v>
      </c>
      <c r="AW22" s="15" t="n">
        <v>0.00042633</v>
      </c>
      <c r="AX22" s="15" t="n">
        <v>0.00042207</v>
      </c>
      <c r="AY22" s="15" t="n">
        <v>0.00041784</v>
      </c>
      <c r="AZ22" s="15" t="n">
        <v>0.00041367</v>
      </c>
      <c r="BA22" s="15" t="n">
        <v>0.00040953</v>
      </c>
      <c r="BB22" s="15" t="n">
        <v>0.00040543</v>
      </c>
      <c r="BC22" s="15" t="n">
        <v>0.00040138</v>
      </c>
      <c r="BD22" s="15" t="n">
        <v>0.00039737</v>
      </c>
      <c r="BE22" s="15" t="n">
        <v>0.00039339</v>
      </c>
      <c r="BF22" s="15" t="n">
        <v>0.00038946</v>
      </c>
      <c r="BG22" s="15" t="n">
        <v>0.00038556</v>
      </c>
      <c r="BH22" s="15" t="n">
        <v>0.00038171</v>
      </c>
      <c r="BI22" s="15" t="n">
        <v>0.00037789</v>
      </c>
      <c r="BJ22" s="15" t="n">
        <v>0.00037411</v>
      </c>
      <c r="BK22" s="15" t="n">
        <v>0.00037037</v>
      </c>
      <c r="BL22" s="15" t="n">
        <v>0.00036667</v>
      </c>
      <c r="BM22" s="15" t="n">
        <v>0.000363</v>
      </c>
      <c r="BN22" s="15" t="n">
        <v>0.00035937</v>
      </c>
      <c r="BO22" s="15" t="n">
        <v>0.00035578</v>
      </c>
      <c r="BP22" s="15" t="n">
        <v>0.00035222</v>
      </c>
      <c r="BQ22" s="15" t="n">
        <v>0.0003487</v>
      </c>
      <c r="BR22" s="15" t="n">
        <v>0.00034521</v>
      </c>
      <c r="BS22" s="15" t="n">
        <v>0.00034176</v>
      </c>
      <c r="BT22" s="15" t="n">
        <v>0.00033834</v>
      </c>
      <c r="BU22" s="15" t="n">
        <v>0.00033496</v>
      </c>
      <c r="BV22" s="15" t="n">
        <v>0.00033161</v>
      </c>
      <c r="BW22" s="15" t="n">
        <v>0.00032829</v>
      </c>
      <c r="BX22" s="15" t="n">
        <v>0.00032501</v>
      </c>
    </row>
    <row r="23">
      <c r="A23" t="n">
        <v>20</v>
      </c>
      <c r="B23" s="15" t="n">
        <v>0.00074231</v>
      </c>
      <c r="C23" s="15" t="n">
        <v>0.00073174</v>
      </c>
      <c r="D23" s="15" t="n">
        <v>0.0007218599999999999</v>
      </c>
      <c r="E23" s="15" t="n">
        <v>0.00071261</v>
      </c>
      <c r="F23" s="15" t="n">
        <v>0.00070395</v>
      </c>
      <c r="G23" s="15" t="n">
        <v>0.00069582</v>
      </c>
      <c r="H23" s="15" t="n">
        <v>0.00068814</v>
      </c>
      <c r="I23" s="15" t="n">
        <v>0.00068084</v>
      </c>
      <c r="J23" s="15" t="n">
        <v>0.00067384</v>
      </c>
      <c r="K23" s="15" t="n">
        <v>0.00066706</v>
      </c>
      <c r="L23" s="15" t="n">
        <v>0.00066039</v>
      </c>
      <c r="M23" s="15" t="n">
        <v>0.00065378</v>
      </c>
      <c r="N23" s="15" t="n">
        <v>0.00064724</v>
      </c>
      <c r="O23" s="15" t="n">
        <v>0.00064077</v>
      </c>
      <c r="P23" s="15" t="n">
        <v>0.00063436</v>
      </c>
      <c r="Q23" s="15" t="n">
        <v>0.00062802</v>
      </c>
      <c r="R23" s="15" t="n">
        <v>0.00062174</v>
      </c>
      <c r="S23" s="15" t="n">
        <v>0.00061552</v>
      </c>
      <c r="T23" s="15" t="n">
        <v>0.00060937</v>
      </c>
      <c r="U23" s="15" t="n">
        <v>0.00060327</v>
      </c>
      <c r="V23" s="15" t="n">
        <v>0.00059724</v>
      </c>
      <c r="W23" s="15" t="n">
        <v>0.00059127</v>
      </c>
      <c r="X23" s="15" t="n">
        <v>0.00058536</v>
      </c>
      <c r="Y23" s="15" t="n">
        <v>0.0005795</v>
      </c>
      <c r="Z23" s="15" t="n">
        <v>0.00057371</v>
      </c>
      <c r="AA23" s="15" t="n">
        <v>0.00056797</v>
      </c>
      <c r="AB23" s="15" t="n">
        <v>0.00056229</v>
      </c>
      <c r="AC23" s="15" t="n">
        <v>0.00055667</v>
      </c>
      <c r="AD23" s="15" t="n">
        <v>0.0005511</v>
      </c>
      <c r="AE23" s="15" t="n">
        <v>0.00054559</v>
      </c>
      <c r="AF23" s="15" t="n">
        <v>0.00054013</v>
      </c>
      <c r="AG23" s="15" t="n">
        <v>0.00053473</v>
      </c>
      <c r="AH23" s="15" t="n">
        <v>0.00052939</v>
      </c>
      <c r="AI23" s="15" t="n">
        <v>0.00052409</v>
      </c>
      <c r="AJ23" s="15" t="n">
        <v>0.00051885</v>
      </c>
      <c r="AK23" s="15" t="n">
        <v>0.00051366</v>
      </c>
      <c r="AL23" s="15" t="n">
        <v>0.00050853</v>
      </c>
      <c r="AM23" s="15" t="n">
        <v>0.00050344</v>
      </c>
      <c r="AN23" s="15" t="n">
        <v>0.00049841</v>
      </c>
      <c r="AO23" s="15" t="n">
        <v>0.0004934199999999999</v>
      </c>
      <c r="AP23" s="15" t="n">
        <v>0.00048849</v>
      </c>
      <c r="AQ23" s="15" t="n">
        <v>0.0004836</v>
      </c>
      <c r="AR23" s="15" t="n">
        <v>0.00047877</v>
      </c>
      <c r="AS23" s="15" t="n">
        <v>0.00047398</v>
      </c>
      <c r="AT23" s="15" t="n">
        <v>0.00046924</v>
      </c>
      <c r="AU23" s="15" t="n">
        <v>0.00046455</v>
      </c>
      <c r="AV23" s="15" t="n">
        <v>0.0004599</v>
      </c>
      <c r="AW23" s="15" t="n">
        <v>0.0004553</v>
      </c>
      <c r="AX23" s="15" t="n">
        <v>0.00045075</v>
      </c>
      <c r="AY23" s="15" t="n">
        <v>0.00044624</v>
      </c>
      <c r="AZ23" s="15" t="n">
        <v>0.00044178</v>
      </c>
      <c r="BA23" s="15" t="n">
        <v>0.00043736</v>
      </c>
      <c r="BB23" s="15" t="n">
        <v>0.00043299</v>
      </c>
      <c r="BC23" s="15" t="n">
        <v>0.00042866</v>
      </c>
      <c r="BD23" s="15" t="n">
        <v>0.00042437</v>
      </c>
      <c r="BE23" s="15" t="n">
        <v>0.00042013</v>
      </c>
      <c r="BF23" s="15" t="n">
        <v>0.00041593</v>
      </c>
      <c r="BG23" s="15" t="n">
        <v>0.00041177</v>
      </c>
      <c r="BH23" s="15" t="n">
        <v>0.00040765</v>
      </c>
      <c r="BI23" s="15" t="n">
        <v>0.00040357</v>
      </c>
      <c r="BJ23" s="15" t="n">
        <v>0.00039954</v>
      </c>
      <c r="BK23" s="15" t="n">
        <v>0.00039554</v>
      </c>
      <c r="BL23" s="15" t="n">
        <v>0.00039159</v>
      </c>
      <c r="BM23" s="15" t="n">
        <v>0.00038767</v>
      </c>
      <c r="BN23" s="15" t="n">
        <v>0.00038379</v>
      </c>
      <c r="BO23" s="15" t="n">
        <v>0.00037996</v>
      </c>
      <c r="BP23" s="15" t="n">
        <v>0.00037616</v>
      </c>
      <c r="BQ23" s="15" t="n">
        <v>0.0003724</v>
      </c>
      <c r="BR23" s="15" t="n">
        <v>0.00036867</v>
      </c>
      <c r="BS23" s="15" t="n">
        <v>0.00036498</v>
      </c>
      <c r="BT23" s="15" t="n">
        <v>0.00036133</v>
      </c>
      <c r="BU23" s="15" t="n">
        <v>0.00035772</v>
      </c>
      <c r="BV23" s="15" t="n">
        <v>0.00035414</v>
      </c>
      <c r="BW23" s="15" t="n">
        <v>0.0003506</v>
      </c>
      <c r="BX23" s="15" t="n">
        <v>0.0003471</v>
      </c>
    </row>
    <row r="24">
      <c r="A24" t="n">
        <v>21</v>
      </c>
      <c r="B24" s="15" t="n">
        <v>0.00077328</v>
      </c>
      <c r="C24" s="15" t="n">
        <v>0.00076237</v>
      </c>
      <c r="D24" s="15" t="n">
        <v>0.00075216</v>
      </c>
      <c r="E24" s="15" t="n">
        <v>0.00074259</v>
      </c>
      <c r="F24" s="15" t="n">
        <v>0.00073361</v>
      </c>
      <c r="G24" s="15" t="n">
        <v>0.00072517</v>
      </c>
      <c r="H24" s="15" t="n">
        <v>0.00071719</v>
      </c>
      <c r="I24" s="15" t="n">
        <v>0.00070959</v>
      </c>
      <c r="J24" s="15" t="n">
        <v>0.00070231</v>
      </c>
      <c r="K24" s="15" t="n">
        <v>0.00069523</v>
      </c>
      <c r="L24" s="15" t="n">
        <v>0.00068828</v>
      </c>
      <c r="M24" s="15" t="n">
        <v>0.0006814</v>
      </c>
      <c r="N24" s="15" t="n">
        <v>0.00067458</v>
      </c>
      <c r="O24" s="15" t="n">
        <v>0.0006678399999999999</v>
      </c>
      <c r="P24" s="15" t="n">
        <v>0.00066116</v>
      </c>
      <c r="Q24" s="15" t="n">
        <v>0.0006545500000000001</v>
      </c>
      <c r="R24" s="15" t="n">
        <v>0.000648</v>
      </c>
      <c r="S24" s="15" t="n">
        <v>0.00064152</v>
      </c>
      <c r="T24" s="15" t="n">
        <v>0.00063511</v>
      </c>
      <c r="U24" s="15" t="n">
        <v>0.00062876</v>
      </c>
      <c r="V24" s="15" t="n">
        <v>0.00062247</v>
      </c>
      <c r="W24" s="15" t="n">
        <v>0.00061624</v>
      </c>
      <c r="X24" s="15" t="n">
        <v>0.00061008</v>
      </c>
      <c r="Y24" s="15" t="n">
        <v>0.0006039799999999999</v>
      </c>
      <c r="Z24" s="15" t="n">
        <v>0.00059794</v>
      </c>
      <c r="AA24" s="15" t="n">
        <v>0.00059196</v>
      </c>
      <c r="AB24" s="15" t="n">
        <v>0.00058604</v>
      </c>
      <c r="AC24" s="15" t="n">
        <v>0.00058018</v>
      </c>
      <c r="AD24" s="15" t="n">
        <v>0.00057438</v>
      </c>
      <c r="AE24" s="15" t="n">
        <v>0.00056864</v>
      </c>
      <c r="AF24" s="15" t="n">
        <v>0.00056295</v>
      </c>
      <c r="AG24" s="15" t="n">
        <v>0.00055732</v>
      </c>
      <c r="AH24" s="15" t="n">
        <v>0.00055175</v>
      </c>
      <c r="AI24" s="15" t="n">
        <v>0.00054623</v>
      </c>
      <c r="AJ24" s="15" t="n">
        <v>0.00054077</v>
      </c>
      <c r="AK24" s="15" t="n">
        <v>0.00053536</v>
      </c>
      <c r="AL24" s="15" t="n">
        <v>0.00053001</v>
      </c>
      <c r="AM24" s="15" t="n">
        <v>0.00052471</v>
      </c>
      <c r="AN24" s="15" t="n">
        <v>0.00051946</v>
      </c>
      <c r="AO24" s="15" t="n">
        <v>0.00051426</v>
      </c>
      <c r="AP24" s="15" t="n">
        <v>0.00050912</v>
      </c>
      <c r="AQ24" s="15" t="n">
        <v>0.00050403</v>
      </c>
      <c r="AR24" s="15" t="n">
        <v>0.00049899</v>
      </c>
      <c r="AS24" s="15" t="n">
        <v>0.000494</v>
      </c>
      <c r="AT24" s="15" t="n">
        <v>0.00048906</v>
      </c>
      <c r="AU24" s="15" t="n">
        <v>0.00048417</v>
      </c>
      <c r="AV24" s="15" t="n">
        <v>0.00047933</v>
      </c>
      <c r="AW24" s="15" t="n">
        <v>0.00047454</v>
      </c>
      <c r="AX24" s="15" t="n">
        <v>0.00046979</v>
      </c>
      <c r="AY24" s="15" t="n">
        <v>0.00046509</v>
      </c>
      <c r="AZ24" s="15" t="n">
        <v>0.00046044</v>
      </c>
      <c r="BA24" s="15" t="n">
        <v>0.00045584</v>
      </c>
      <c r="BB24" s="15" t="n">
        <v>0.00045128</v>
      </c>
      <c r="BC24" s="15" t="n">
        <v>0.00044677</v>
      </c>
      <c r="BD24" s="15" t="n">
        <v>0.0004423</v>
      </c>
      <c r="BE24" s="15" t="n">
        <v>0.00043787</v>
      </c>
      <c r="BF24" s="15" t="n">
        <v>0.0004335</v>
      </c>
      <c r="BG24" s="15" t="n">
        <v>0.00042916</v>
      </c>
      <c r="BH24" s="15" t="n">
        <v>0.00042487</v>
      </c>
      <c r="BI24" s="15" t="n">
        <v>0.00042062</v>
      </c>
      <c r="BJ24" s="15" t="n">
        <v>0.00041641</v>
      </c>
      <c r="BK24" s="15" t="n">
        <v>0.00041225</v>
      </c>
      <c r="BL24" s="15" t="n">
        <v>0.00040813</v>
      </c>
      <c r="BM24" s="15" t="n">
        <v>0.00040405</v>
      </c>
      <c r="BN24" s="15" t="n">
        <v>0.00040001</v>
      </c>
      <c r="BO24" s="15" t="n">
        <v>0.00039601</v>
      </c>
      <c r="BP24" s="15" t="n">
        <v>0.00039205</v>
      </c>
      <c r="BQ24" s="15" t="n">
        <v>0.00038813</v>
      </c>
      <c r="BR24" s="15" t="n">
        <v>0.00038424</v>
      </c>
      <c r="BS24" s="15" t="n">
        <v>0.0003804</v>
      </c>
      <c r="BT24" s="15" t="n">
        <v>0.0003766</v>
      </c>
      <c r="BU24" s="15" t="n">
        <v>0.00037283</v>
      </c>
      <c r="BV24" s="15" t="n">
        <v>0.0003691</v>
      </c>
      <c r="BW24" s="15" t="n">
        <v>0.00036541</v>
      </c>
      <c r="BX24" s="15" t="n">
        <v>0.00036176</v>
      </c>
    </row>
    <row r="25">
      <c r="A25" t="n">
        <v>22</v>
      </c>
      <c r="B25" s="15" t="n">
        <v>0.0007987</v>
      </c>
      <c r="C25" s="15" t="n">
        <v>0.00078749</v>
      </c>
      <c r="D25" s="15" t="n">
        <v>0.00077699</v>
      </c>
      <c r="E25" s="15" t="n">
        <v>0.00076714</v>
      </c>
      <c r="F25" s="15" t="n">
        <v>0.0007579</v>
      </c>
      <c r="G25" s="15" t="n">
        <v>0.0007492</v>
      </c>
      <c r="H25" s="15" t="n">
        <v>0.00074097</v>
      </c>
      <c r="I25" s="15" t="n">
        <v>0.00073313</v>
      </c>
      <c r="J25" s="15" t="n">
        <v>0.0007256</v>
      </c>
      <c r="K25" s="15" t="n">
        <v>0.0007182999999999999</v>
      </c>
      <c r="L25" s="15" t="n">
        <v>0.00071111</v>
      </c>
      <c r="M25" s="15" t="n">
        <v>0.000704</v>
      </c>
      <c r="N25" s="15" t="n">
        <v>0.00069696</v>
      </c>
      <c r="O25" s="15" t="n">
        <v>0.00068999</v>
      </c>
      <c r="P25" s="15" t="n">
        <v>0.00068309</v>
      </c>
      <c r="Q25" s="15" t="n">
        <v>0.00067626</v>
      </c>
      <c r="R25" s="15" t="n">
        <v>0.0006695</v>
      </c>
      <c r="S25" s="15" t="n">
        <v>0.0006628</v>
      </c>
      <c r="T25" s="15" t="n">
        <v>0.00065618</v>
      </c>
      <c r="U25" s="15" t="n">
        <v>0.00064961</v>
      </c>
      <c r="V25" s="15" t="n">
        <v>0.00064312</v>
      </c>
      <c r="W25" s="15" t="n">
        <v>0.00063669</v>
      </c>
      <c r="X25" s="15" t="n">
        <v>0.00063032</v>
      </c>
      <c r="Y25" s="15" t="n">
        <v>0.00062402</v>
      </c>
      <c r="Z25" s="15" t="n">
        <v>0.00061778</v>
      </c>
      <c r="AA25" s="15" t="n">
        <v>0.0006116</v>
      </c>
      <c r="AB25" s="15" t="n">
        <v>0.00060548</v>
      </c>
      <c r="AC25" s="15" t="n">
        <v>0.00059943</v>
      </c>
      <c r="AD25" s="15" t="n">
        <v>0.00059343</v>
      </c>
      <c r="AE25" s="15" t="n">
        <v>0.0005875</v>
      </c>
      <c r="AF25" s="15" t="n">
        <v>0.00058163</v>
      </c>
      <c r="AG25" s="15" t="n">
        <v>0.00057581</v>
      </c>
      <c r="AH25" s="15" t="n">
        <v>0.00057005</v>
      </c>
      <c r="AI25" s="15" t="n">
        <v>0.00056435</v>
      </c>
      <c r="AJ25" s="15" t="n">
        <v>0.00055871</v>
      </c>
      <c r="AK25" s="15" t="n">
        <v>0.00055312</v>
      </c>
      <c r="AL25" s="15" t="n">
        <v>0.00054759</v>
      </c>
      <c r="AM25" s="15" t="n">
        <v>0.0005421100000000001</v>
      </c>
      <c r="AN25" s="15" t="n">
        <v>0.00053669</v>
      </c>
      <c r="AO25" s="15" t="n">
        <v>0.0005313199999999999</v>
      </c>
      <c r="AP25" s="15" t="n">
        <v>0.00052601</v>
      </c>
      <c r="AQ25" s="15" t="n">
        <v>0.0005207500000000001</v>
      </c>
      <c r="AR25" s="15" t="n">
        <v>0.00051554</v>
      </c>
      <c r="AS25" s="15" t="n">
        <v>0.00051039</v>
      </c>
      <c r="AT25" s="15" t="n">
        <v>0.00050528</v>
      </c>
      <c r="AU25" s="15" t="n">
        <v>0.0005002300000000001</v>
      </c>
      <c r="AV25" s="15" t="n">
        <v>0.00049523</v>
      </c>
      <c r="AW25" s="15" t="n">
        <v>0.0004902799999999999</v>
      </c>
      <c r="AX25" s="15" t="n">
        <v>0.00048537</v>
      </c>
      <c r="AY25" s="15" t="n">
        <v>0.00048052</v>
      </c>
      <c r="AZ25" s="15" t="n">
        <v>0.00047572</v>
      </c>
      <c r="BA25" s="15" t="n">
        <v>0.00047096</v>
      </c>
      <c r="BB25" s="15" t="n">
        <v>0.00046625</v>
      </c>
      <c r="BC25" s="15" t="n">
        <v>0.00046159</v>
      </c>
      <c r="BD25" s="15" t="n">
        <v>0.00045697</v>
      </c>
      <c r="BE25" s="15" t="n">
        <v>0.0004524</v>
      </c>
      <c r="BF25" s="15" t="n">
        <v>0.00044788</v>
      </c>
      <c r="BG25" s="15" t="n">
        <v>0.0004434</v>
      </c>
      <c r="BH25" s="15" t="n">
        <v>0.00043896</v>
      </c>
      <c r="BI25" s="15" t="n">
        <v>0.00043457</v>
      </c>
      <c r="BJ25" s="15" t="n">
        <v>0.00043023</v>
      </c>
      <c r="BK25" s="15" t="n">
        <v>0.00042593</v>
      </c>
      <c r="BL25" s="15" t="n">
        <v>0.00042167</v>
      </c>
      <c r="BM25" s="15" t="n">
        <v>0.00041745</v>
      </c>
      <c r="BN25" s="15" t="n">
        <v>0.00041328</v>
      </c>
      <c r="BO25" s="15" t="n">
        <v>0.00040914</v>
      </c>
      <c r="BP25" s="15" t="n">
        <v>0.00040505</v>
      </c>
      <c r="BQ25" s="15" t="n">
        <v>0.000401</v>
      </c>
      <c r="BR25" s="15" t="n">
        <v>0.00039699</v>
      </c>
      <c r="BS25" s="15" t="n">
        <v>0.00039302</v>
      </c>
      <c r="BT25" s="15" t="n">
        <v>0.00038909</v>
      </c>
      <c r="BU25" s="15" t="n">
        <v>0.0003852</v>
      </c>
      <c r="BV25" s="15" t="n">
        <v>0.00038135</v>
      </c>
      <c r="BW25" s="15" t="n">
        <v>0.00037753</v>
      </c>
      <c r="BX25" s="15" t="n">
        <v>0.00037376</v>
      </c>
    </row>
    <row r="26">
      <c r="A26" t="n">
        <v>23</v>
      </c>
      <c r="B26" s="15" t="n">
        <v>0.00082044</v>
      </c>
      <c r="C26" s="15" t="n">
        <v>0.00080897</v>
      </c>
      <c r="D26" s="15" t="n">
        <v>0.00079821</v>
      </c>
      <c r="E26" s="15" t="n">
        <v>0.00078811</v>
      </c>
      <c r="F26" s="15" t="n">
        <v>0.00077864</v>
      </c>
      <c r="G26" s="15" t="n">
        <v>0.0007697099999999999</v>
      </c>
      <c r="H26" s="15" t="n">
        <v>0.00076126</v>
      </c>
      <c r="I26" s="15" t="n">
        <v>0.00075321</v>
      </c>
      <c r="J26" s="15" t="n">
        <v>0.00074548</v>
      </c>
      <c r="K26" s="15" t="n">
        <v>0.00073798</v>
      </c>
      <c r="L26" s="15" t="n">
        <v>0.0007306</v>
      </c>
      <c r="M26" s="15" t="n">
        <v>0.00072329</v>
      </c>
      <c r="N26" s="15" t="n">
        <v>0.00071606</v>
      </c>
      <c r="O26" s="15" t="n">
        <v>0.0007089</v>
      </c>
      <c r="P26" s="15" t="n">
        <v>0.00070181</v>
      </c>
      <c r="Q26" s="15" t="n">
        <v>0.00069479</v>
      </c>
      <c r="R26" s="15" t="n">
        <v>0.00068784</v>
      </c>
      <c r="S26" s="15" t="n">
        <v>0.00068096</v>
      </c>
      <c r="T26" s="15" t="n">
        <v>0.00067416</v>
      </c>
      <c r="U26" s="15" t="n">
        <v>0.00066741</v>
      </c>
      <c r="V26" s="15" t="n">
        <v>0.00066074</v>
      </c>
      <c r="W26" s="15" t="n">
        <v>0.0006541299999999999</v>
      </c>
      <c r="X26" s="15" t="n">
        <v>0.00064759</v>
      </c>
      <c r="Y26" s="15" t="n">
        <v>0.00064111</v>
      </c>
      <c r="Z26" s="15" t="n">
        <v>0.0006347</v>
      </c>
      <c r="AA26" s="15" t="n">
        <v>0.00062836</v>
      </c>
      <c r="AB26" s="15" t="n">
        <v>0.00062207</v>
      </c>
      <c r="AC26" s="15" t="n">
        <v>0.00061585</v>
      </c>
      <c r="AD26" s="15" t="n">
        <v>0.00060969</v>
      </c>
      <c r="AE26" s="15" t="n">
        <v>0.0006036</v>
      </c>
      <c r="AF26" s="15" t="n">
        <v>0.00059756</v>
      </c>
      <c r="AG26" s="15" t="n">
        <v>0.00059159</v>
      </c>
      <c r="AH26" s="15" t="n">
        <v>0.00058567</v>
      </c>
      <c r="AI26" s="15" t="n">
        <v>0.00057981</v>
      </c>
      <c r="AJ26" s="15" t="n">
        <v>0.00057401</v>
      </c>
      <c r="AK26" s="15" t="n">
        <v>0.00056827</v>
      </c>
      <c r="AL26" s="15" t="n">
        <v>0.00056259</v>
      </c>
      <c r="AM26" s="15" t="n">
        <v>0.0005569699999999999</v>
      </c>
      <c r="AN26" s="15" t="n">
        <v>0.0005514</v>
      </c>
      <c r="AO26" s="15" t="n">
        <v>0.00054588</v>
      </c>
      <c r="AP26" s="15" t="n">
        <v>0.00054042</v>
      </c>
      <c r="AQ26" s="15" t="n">
        <v>0.00053502</v>
      </c>
      <c r="AR26" s="15" t="n">
        <v>0.00052967</v>
      </c>
      <c r="AS26" s="15" t="n">
        <v>0.00052437</v>
      </c>
      <c r="AT26" s="15" t="n">
        <v>0.00051913</v>
      </c>
      <c r="AU26" s="15" t="n">
        <v>0.0005139399999999999</v>
      </c>
      <c r="AV26" s="15" t="n">
        <v>0.0005088</v>
      </c>
      <c r="AW26" s="15" t="n">
        <v>0.00050371</v>
      </c>
      <c r="AX26" s="15" t="n">
        <v>0.00049867</v>
      </c>
      <c r="AY26" s="15" t="n">
        <v>0.00049369</v>
      </c>
      <c r="AZ26" s="15" t="n">
        <v>0.00048875</v>
      </c>
      <c r="BA26" s="15" t="n">
        <v>0.00048386</v>
      </c>
      <c r="BB26" s="15" t="n">
        <v>0.00047902</v>
      </c>
      <c r="BC26" s="15" t="n">
        <v>0.00047423</v>
      </c>
      <c r="BD26" s="15" t="n">
        <v>0.00046949</v>
      </c>
      <c r="BE26" s="15" t="n">
        <v>0.0004648</v>
      </c>
      <c r="BF26" s="15" t="n">
        <v>0.00046015</v>
      </c>
      <c r="BG26" s="15" t="n">
        <v>0.00045555</v>
      </c>
      <c r="BH26" s="15" t="n">
        <v>0.00045099</v>
      </c>
      <c r="BI26" s="15" t="n">
        <v>0.00044648</v>
      </c>
      <c r="BJ26" s="15" t="n">
        <v>0.00044202</v>
      </c>
      <c r="BK26" s="15" t="n">
        <v>0.0004376</v>
      </c>
      <c r="BL26" s="15" t="n">
        <v>0.00043322</v>
      </c>
      <c r="BM26" s="15" t="n">
        <v>0.00042889</v>
      </c>
      <c r="BN26" s="15" t="n">
        <v>0.0004246</v>
      </c>
      <c r="BO26" s="15" t="n">
        <v>0.00042035</v>
      </c>
      <c r="BP26" s="15" t="n">
        <v>0.00041615</v>
      </c>
      <c r="BQ26" s="15" t="n">
        <v>0.00041199</v>
      </c>
      <c r="BR26" s="15" t="n">
        <v>0.00040787</v>
      </c>
      <c r="BS26" s="15" t="n">
        <v>0.00040379</v>
      </c>
      <c r="BT26" s="15" t="n">
        <v>0.00039975</v>
      </c>
      <c r="BU26" s="15" t="n">
        <v>0.00039575</v>
      </c>
      <c r="BV26" s="15" t="n">
        <v>0.0003918</v>
      </c>
      <c r="BW26" s="15" t="n">
        <v>0.00038788</v>
      </c>
      <c r="BX26" s="15" t="n">
        <v>0.000384</v>
      </c>
    </row>
    <row r="27">
      <c r="A27" t="n">
        <v>24</v>
      </c>
      <c r="B27" s="15" t="n">
        <v>0.00083657</v>
      </c>
      <c r="C27" s="15" t="n">
        <v>0.00082489</v>
      </c>
      <c r="D27" s="15" t="n">
        <v>0.00081394</v>
      </c>
      <c r="E27" s="15" t="n">
        <v>0.00080367</v>
      </c>
      <c r="F27" s="15" t="n">
        <v>0.00079402</v>
      </c>
      <c r="G27" s="15" t="n">
        <v>0.00078492</v>
      </c>
      <c r="H27" s="15" t="n">
        <v>0.00077632</v>
      </c>
      <c r="I27" s="15" t="n">
        <v>0.00076811</v>
      </c>
      <c r="J27" s="15" t="n">
        <v>0.00076023</v>
      </c>
      <c r="K27" s="15" t="n">
        <v>0.00075258</v>
      </c>
      <c r="L27" s="15" t="n">
        <v>0.00074505</v>
      </c>
      <c r="M27" s="15" t="n">
        <v>0.0007376</v>
      </c>
      <c r="N27" s="15" t="n">
        <v>0.00073023</v>
      </c>
      <c r="O27" s="15" t="n">
        <v>0.0007229200000000001</v>
      </c>
      <c r="P27" s="15" t="n">
        <v>0.0007157</v>
      </c>
      <c r="Q27" s="15" t="n">
        <v>0.00070854</v>
      </c>
      <c r="R27" s="15" t="n">
        <v>0.0007014499999999999</v>
      </c>
      <c r="S27" s="15" t="n">
        <v>0.0006944400000000001</v>
      </c>
      <c r="T27" s="15" t="n">
        <v>0.00068749</v>
      </c>
      <c r="U27" s="15" t="n">
        <v>0.0006806200000000001</v>
      </c>
      <c r="V27" s="15" t="n">
        <v>0.0006738099999999999</v>
      </c>
      <c r="W27" s="15" t="n">
        <v>0.00066707</v>
      </c>
      <c r="X27" s="15" t="n">
        <v>0.0006604</v>
      </c>
      <c r="Y27" s="15" t="n">
        <v>0.0006538</v>
      </c>
      <c r="Z27" s="15" t="n">
        <v>0.00064726</v>
      </c>
      <c r="AA27" s="15" t="n">
        <v>0.00064079</v>
      </c>
      <c r="AB27" s="15" t="n">
        <v>0.00063438</v>
      </c>
      <c r="AC27" s="15" t="n">
        <v>0.00062804</v>
      </c>
      <c r="AD27" s="15" t="n">
        <v>0.00062176</v>
      </c>
      <c r="AE27" s="15" t="n">
        <v>0.00061554</v>
      </c>
      <c r="AF27" s="15" t="n">
        <v>0.00060938</v>
      </c>
      <c r="AG27" s="15" t="n">
        <v>0.00060329</v>
      </c>
      <c r="AH27" s="15" t="n">
        <v>0.00059726</v>
      </c>
      <c r="AI27" s="15" t="n">
        <v>0.00059129</v>
      </c>
      <c r="AJ27" s="15" t="n">
        <v>0.00058537</v>
      </c>
      <c r="AK27" s="15" t="n">
        <v>0.00057952</v>
      </c>
      <c r="AL27" s="15" t="n">
        <v>0.00057372</v>
      </c>
      <c r="AM27" s="15" t="n">
        <v>0.00056799</v>
      </c>
      <c r="AN27" s="15" t="n">
        <v>0.00056231</v>
      </c>
      <c r="AO27" s="15" t="n">
        <v>0.00055668</v>
      </c>
      <c r="AP27" s="15" t="n">
        <v>0.00055112</v>
      </c>
      <c r="AQ27" s="15" t="n">
        <v>0.00054561</v>
      </c>
      <c r="AR27" s="15" t="n">
        <v>0.00054015</v>
      </c>
      <c r="AS27" s="15" t="n">
        <v>0.00053475</v>
      </c>
      <c r="AT27" s="15" t="n">
        <v>0.0005294</v>
      </c>
      <c r="AU27" s="15" t="n">
        <v>0.00052411</v>
      </c>
      <c r="AV27" s="15" t="n">
        <v>0.0005188700000000001</v>
      </c>
      <c r="AW27" s="15" t="n">
        <v>0.00051368</v>
      </c>
      <c r="AX27" s="15" t="n">
        <v>0.00050854</v>
      </c>
      <c r="AY27" s="15" t="n">
        <v>0.00050345</v>
      </c>
      <c r="AZ27" s="15" t="n">
        <v>0.00049842</v>
      </c>
      <c r="BA27" s="15" t="n">
        <v>0.00049344</v>
      </c>
      <c r="BB27" s="15" t="n">
        <v>0.0004885</v>
      </c>
      <c r="BC27" s="15" t="n">
        <v>0.00048362</v>
      </c>
      <c r="BD27" s="15" t="n">
        <v>0.00047878</v>
      </c>
      <c r="BE27" s="15" t="n">
        <v>0.00047399</v>
      </c>
      <c r="BF27" s="15" t="n">
        <v>0.00046925</v>
      </c>
      <c r="BG27" s="15" t="n">
        <v>0.00046456</v>
      </c>
      <c r="BH27" s="15" t="n">
        <v>0.00045991</v>
      </c>
      <c r="BI27" s="15" t="n">
        <v>0.00045531</v>
      </c>
      <c r="BJ27" s="15" t="n">
        <v>0.00045076</v>
      </c>
      <c r="BK27" s="15" t="n">
        <v>0.00044625</v>
      </c>
      <c r="BL27" s="15" t="n">
        <v>0.00044179</v>
      </c>
      <c r="BM27" s="15" t="n">
        <v>0.00043737</v>
      </c>
      <c r="BN27" s="15" t="n">
        <v>0.000433</v>
      </c>
      <c r="BO27" s="15" t="n">
        <v>0.00042867</v>
      </c>
      <c r="BP27" s="15" t="n">
        <v>0.00042438</v>
      </c>
      <c r="BQ27" s="15" t="n">
        <v>0.00042014</v>
      </c>
      <c r="BR27" s="15" t="n">
        <v>0.00041594</v>
      </c>
      <c r="BS27" s="15" t="n">
        <v>0.00041178</v>
      </c>
      <c r="BT27" s="15" t="n">
        <v>0.00040766</v>
      </c>
      <c r="BU27" s="15" t="n">
        <v>0.00040358</v>
      </c>
      <c r="BV27" s="15" t="n">
        <v>0.00039955</v>
      </c>
      <c r="BW27" s="15" t="n">
        <v>0.00039555</v>
      </c>
      <c r="BX27" s="15" t="n">
        <v>0.0003916</v>
      </c>
    </row>
    <row r="28">
      <c r="A28" t="n">
        <v>25</v>
      </c>
      <c r="B28" s="15" t="n">
        <v>0.00085729</v>
      </c>
      <c r="C28" s="15" t="n">
        <v>0.00084536</v>
      </c>
      <c r="D28" s="15" t="n">
        <v>0.00083417</v>
      </c>
      <c r="E28" s="15" t="n">
        <v>0.00082366</v>
      </c>
      <c r="F28" s="15" t="n">
        <v>0.00081378</v>
      </c>
      <c r="G28" s="15" t="n">
        <v>0.0008044699999999999</v>
      </c>
      <c r="H28" s="15" t="n">
        <v>0.00079566</v>
      </c>
      <c r="I28" s="15" t="n">
        <v>0.00078726</v>
      </c>
      <c r="J28" s="15" t="n">
        <v>0.00077918</v>
      </c>
      <c r="K28" s="15" t="n">
        <v>0.00077134</v>
      </c>
      <c r="L28" s="15" t="n">
        <v>0.00076362</v>
      </c>
      <c r="M28" s="15" t="n">
        <v>0.00075599</v>
      </c>
      <c r="N28" s="15" t="n">
        <v>0.00074843</v>
      </c>
      <c r="O28" s="15" t="n">
        <v>0.00074094</v>
      </c>
      <c r="P28" s="15" t="n">
        <v>0.00073353</v>
      </c>
      <c r="Q28" s="15" t="n">
        <v>0.0007262</v>
      </c>
      <c r="R28" s="15" t="n">
        <v>0.0007189400000000001</v>
      </c>
      <c r="S28" s="15" t="n">
        <v>0.00071175</v>
      </c>
      <c r="T28" s="15" t="n">
        <v>0.00070463</v>
      </c>
      <c r="U28" s="15" t="n">
        <v>0.0006975800000000001</v>
      </c>
      <c r="V28" s="15" t="n">
        <v>0.00069061</v>
      </c>
      <c r="W28" s="15" t="n">
        <v>0.0006837</v>
      </c>
      <c r="X28" s="15" t="n">
        <v>0.00067686</v>
      </c>
      <c r="Y28" s="15" t="n">
        <v>0.0006701</v>
      </c>
      <c r="Z28" s="15" t="n">
        <v>0.00066339</v>
      </c>
      <c r="AA28" s="15" t="n">
        <v>0.00065676</v>
      </c>
      <c r="AB28" s="15" t="n">
        <v>0.00065019</v>
      </c>
      <c r="AC28" s="15" t="n">
        <v>0.00064369</v>
      </c>
      <c r="AD28" s="15" t="n">
        <v>0.00063725</v>
      </c>
      <c r="AE28" s="15" t="n">
        <v>0.00063088</v>
      </c>
      <c r="AF28" s="15" t="n">
        <v>0.00062457</v>
      </c>
      <c r="AG28" s="15" t="n">
        <v>0.0006183300000000001</v>
      </c>
      <c r="AH28" s="15" t="n">
        <v>0.0006121399999999999</v>
      </c>
      <c r="AI28" s="15" t="n">
        <v>0.00060602</v>
      </c>
      <c r="AJ28" s="15" t="n">
        <v>0.00059996</v>
      </c>
      <c r="AK28" s="15" t="n">
        <v>0.00059396</v>
      </c>
      <c r="AL28" s="15" t="n">
        <v>0.00058802</v>
      </c>
      <c r="AM28" s="15" t="n">
        <v>0.00058214</v>
      </c>
      <c r="AN28" s="15" t="n">
        <v>0.00057632</v>
      </c>
      <c r="AO28" s="15" t="n">
        <v>0.00057056</v>
      </c>
      <c r="AP28" s="15" t="n">
        <v>0.00056485</v>
      </c>
      <c r="AQ28" s="15" t="n">
        <v>0.0005592</v>
      </c>
      <c r="AR28" s="15" t="n">
        <v>0.00055361</v>
      </c>
      <c r="AS28" s="15" t="n">
        <v>0.0005480800000000001</v>
      </c>
      <c r="AT28" s="15" t="n">
        <v>0.0005426</v>
      </c>
      <c r="AU28" s="15" t="n">
        <v>0.00053717</v>
      </c>
      <c r="AV28" s="15" t="n">
        <v>0.0005318</v>
      </c>
      <c r="AW28" s="15" t="n">
        <v>0.00052648</v>
      </c>
      <c r="AX28" s="15" t="n">
        <v>0.00052121</v>
      </c>
      <c r="AY28" s="15" t="n">
        <v>0.000516</v>
      </c>
      <c r="AZ28" s="15" t="n">
        <v>0.00051084</v>
      </c>
      <c r="BA28" s="15" t="n">
        <v>0.00050573</v>
      </c>
      <c r="BB28" s="15" t="n">
        <v>0.00050068</v>
      </c>
      <c r="BC28" s="15" t="n">
        <v>0.00049567</v>
      </c>
      <c r="BD28" s="15" t="n">
        <v>0.00049071</v>
      </c>
      <c r="BE28" s="15" t="n">
        <v>0.00048581</v>
      </c>
      <c r="BF28" s="15" t="n">
        <v>0.00048095</v>
      </c>
      <c r="BG28" s="15" t="n">
        <v>0.00047614</v>
      </c>
      <c r="BH28" s="15" t="n">
        <v>0.00047138</v>
      </c>
      <c r="BI28" s="15" t="n">
        <v>0.00046666</v>
      </c>
      <c r="BJ28" s="15" t="n">
        <v>0.000462</v>
      </c>
      <c r="BK28" s="15" t="n">
        <v>0.00045738</v>
      </c>
      <c r="BL28" s="15" t="n">
        <v>0.0004528</v>
      </c>
      <c r="BM28" s="15" t="n">
        <v>0.00044827</v>
      </c>
      <c r="BN28" s="15" t="n">
        <v>0.00044379</v>
      </c>
      <c r="BO28" s="15" t="n">
        <v>0.00043935</v>
      </c>
      <c r="BP28" s="15" t="n">
        <v>0.00043496</v>
      </c>
      <c r="BQ28" s="15" t="n">
        <v>0.00043061</v>
      </c>
      <c r="BR28" s="15" t="n">
        <v>0.00042631</v>
      </c>
      <c r="BS28" s="15" t="n">
        <v>0.00042204</v>
      </c>
      <c r="BT28" s="15" t="n">
        <v>0.00041782</v>
      </c>
      <c r="BU28" s="15" t="n">
        <v>0.00041364</v>
      </c>
      <c r="BV28" s="15" t="n">
        <v>0.00040951</v>
      </c>
      <c r="BW28" s="15" t="n">
        <v>0.00040541</v>
      </c>
      <c r="BX28" s="15" t="n">
        <v>0.00040136</v>
      </c>
    </row>
    <row r="29">
      <c r="A29" t="n">
        <v>26</v>
      </c>
      <c r="B29" s="15" t="n">
        <v>0.00088625</v>
      </c>
      <c r="C29" s="15" t="n">
        <v>0.00087396</v>
      </c>
      <c r="D29" s="15" t="n">
        <v>0.00086243</v>
      </c>
      <c r="E29" s="15" t="n">
        <v>0.0008515900000000001</v>
      </c>
      <c r="F29" s="15" t="n">
        <v>0.0008414</v>
      </c>
      <c r="G29" s="15" t="n">
        <v>0.00083179</v>
      </c>
      <c r="H29" s="15" t="n">
        <v>0.0008226900000000001</v>
      </c>
      <c r="I29" s="15" t="n">
        <v>0.00081401</v>
      </c>
      <c r="J29" s="15" t="n">
        <v>0.00080566</v>
      </c>
      <c r="K29" s="15" t="n">
        <v>0.00079755</v>
      </c>
      <c r="L29" s="15" t="n">
        <v>0.00078957</v>
      </c>
      <c r="M29" s="15" t="n">
        <v>0.00078168</v>
      </c>
      <c r="N29" s="15" t="n">
        <v>0.00077386</v>
      </c>
      <c r="O29" s="15" t="n">
        <v>0.00076612</v>
      </c>
      <c r="P29" s="15" t="n">
        <v>0.00075846</v>
      </c>
      <c r="Q29" s="15" t="n">
        <v>0.00075088</v>
      </c>
      <c r="R29" s="15" t="n">
        <v>0.00074337</v>
      </c>
      <c r="S29" s="15" t="n">
        <v>0.00073594</v>
      </c>
      <c r="T29" s="15" t="n">
        <v>0.00072858</v>
      </c>
      <c r="U29" s="15" t="n">
        <v>0.00072129</v>
      </c>
      <c r="V29" s="15" t="n">
        <v>0.00071408</v>
      </c>
      <c r="W29" s="15" t="n">
        <v>0.00070694</v>
      </c>
      <c r="X29" s="15" t="n">
        <v>0.00069987</v>
      </c>
      <c r="Y29" s="15" t="n">
        <v>0.0006928700000000001</v>
      </c>
      <c r="Z29" s="15" t="n">
        <v>0.00068594</v>
      </c>
      <c r="AA29" s="15" t="n">
        <v>0.00067908</v>
      </c>
      <c r="AB29" s="15" t="n">
        <v>0.00067229</v>
      </c>
      <c r="AC29" s="15" t="n">
        <v>0.00066557</v>
      </c>
      <c r="AD29" s="15" t="n">
        <v>0.00065891</v>
      </c>
      <c r="AE29" s="15" t="n">
        <v>0.00065232</v>
      </c>
      <c r="AF29" s="15" t="n">
        <v>0.0006458</v>
      </c>
      <c r="AG29" s="15" t="n">
        <v>0.00063934</v>
      </c>
      <c r="AH29" s="15" t="n">
        <v>0.00063295</v>
      </c>
      <c r="AI29" s="15" t="n">
        <v>0.00062662</v>
      </c>
      <c r="AJ29" s="15" t="n">
        <v>0.00062035</v>
      </c>
      <c r="AK29" s="15" t="n">
        <v>0.00061415</v>
      </c>
      <c r="AL29" s="15" t="n">
        <v>0.00060801</v>
      </c>
      <c r="AM29" s="15" t="n">
        <v>0.00060193</v>
      </c>
      <c r="AN29" s="15" t="n">
        <v>0.00059591</v>
      </c>
      <c r="AO29" s="15" t="n">
        <v>0.00058995</v>
      </c>
      <c r="AP29" s="15" t="n">
        <v>0.00058405</v>
      </c>
      <c r="AQ29" s="15" t="n">
        <v>0.00057821</v>
      </c>
      <c r="AR29" s="15" t="n">
        <v>0.00057243</v>
      </c>
      <c r="AS29" s="15" t="n">
        <v>0.0005667</v>
      </c>
      <c r="AT29" s="15" t="n">
        <v>0.00056103</v>
      </c>
      <c r="AU29" s="15" t="n">
        <v>0.00055542</v>
      </c>
      <c r="AV29" s="15" t="n">
        <v>0.00054987</v>
      </c>
      <c r="AW29" s="15" t="n">
        <v>0.00054437</v>
      </c>
      <c r="AX29" s="15" t="n">
        <v>0.00053893</v>
      </c>
      <c r="AY29" s="15" t="n">
        <v>0.00053354</v>
      </c>
      <c r="AZ29" s="15" t="n">
        <v>0.0005282</v>
      </c>
      <c r="BA29" s="15" t="n">
        <v>0.00052292</v>
      </c>
      <c r="BB29" s="15" t="n">
        <v>0.00051769</v>
      </c>
      <c r="BC29" s="15" t="n">
        <v>0.00051251</v>
      </c>
      <c r="BD29" s="15" t="n">
        <v>0.00050739</v>
      </c>
      <c r="BE29" s="15" t="n">
        <v>0.00050232</v>
      </c>
      <c r="BF29" s="15" t="n">
        <v>0.0004972899999999999</v>
      </c>
      <c r="BG29" s="15" t="n">
        <v>0.00049232</v>
      </c>
      <c r="BH29" s="15" t="n">
        <v>0.0004874</v>
      </c>
      <c r="BI29" s="15" t="n">
        <v>0.00048252</v>
      </c>
      <c r="BJ29" s="15" t="n">
        <v>0.0004777</v>
      </c>
      <c r="BK29" s="15" t="n">
        <v>0.00047292</v>
      </c>
      <c r="BL29" s="15" t="n">
        <v>0.00046819</v>
      </c>
      <c r="BM29" s="15" t="n">
        <v>0.00046351</v>
      </c>
      <c r="BN29" s="15" t="n">
        <v>0.00045887</v>
      </c>
      <c r="BO29" s="15" t="n">
        <v>0.00045429</v>
      </c>
      <c r="BP29" s="15" t="n">
        <v>0.00044974</v>
      </c>
      <c r="BQ29" s="15" t="n">
        <v>0.00044525</v>
      </c>
      <c r="BR29" s="15" t="n">
        <v>0.00044079</v>
      </c>
      <c r="BS29" s="15" t="n">
        <v>0.00043638</v>
      </c>
      <c r="BT29" s="15" t="n">
        <v>0.00043202</v>
      </c>
      <c r="BU29" s="15" t="n">
        <v>0.0004277</v>
      </c>
      <c r="BV29" s="15" t="n">
        <v>0.00042342</v>
      </c>
      <c r="BW29" s="15" t="n">
        <v>0.00041919</v>
      </c>
      <c r="BX29" s="15" t="n">
        <v>0.000415</v>
      </c>
    </row>
    <row r="30">
      <c r="A30" t="n">
        <v>27</v>
      </c>
      <c r="B30" s="15" t="n">
        <v>0.00092443</v>
      </c>
      <c r="C30" s="15" t="n">
        <v>0.00091168</v>
      </c>
      <c r="D30" s="15" t="n">
        <v>0.0008997</v>
      </c>
      <c r="E30" s="15" t="n">
        <v>0.00088844</v>
      </c>
      <c r="F30" s="15" t="n">
        <v>0.00087784</v>
      </c>
      <c r="G30" s="15" t="n">
        <v>0.00086783</v>
      </c>
      <c r="H30" s="15" t="n">
        <v>0.00085835</v>
      </c>
      <c r="I30" s="15" t="n">
        <v>0.0008493</v>
      </c>
      <c r="J30" s="15" t="n">
        <v>0.00084059</v>
      </c>
      <c r="K30" s="15" t="n">
        <v>0.00083213</v>
      </c>
      <c r="L30" s="15" t="n">
        <v>0.00082381</v>
      </c>
      <c r="M30" s="15" t="n">
        <v>0.0008155700000000001</v>
      </c>
      <c r="N30" s="15" t="n">
        <v>0.00080742</v>
      </c>
      <c r="O30" s="15" t="n">
        <v>0.0007993399999999999</v>
      </c>
      <c r="P30" s="15" t="n">
        <v>0.00079135</v>
      </c>
      <c r="Q30" s="15" t="n">
        <v>0.00078344</v>
      </c>
      <c r="R30" s="15" t="n">
        <v>0.0007756</v>
      </c>
      <c r="S30" s="15" t="n">
        <v>0.00076785</v>
      </c>
      <c r="T30" s="15" t="n">
        <v>0.00076017</v>
      </c>
      <c r="U30" s="15" t="n">
        <v>0.00075257</v>
      </c>
      <c r="V30" s="15" t="n">
        <v>0.00074504</v>
      </c>
      <c r="W30" s="15" t="n">
        <v>0.00073759</v>
      </c>
      <c r="X30" s="15" t="n">
        <v>0.00073021</v>
      </c>
      <c r="Y30" s="15" t="n">
        <v>0.00072291</v>
      </c>
      <c r="Z30" s="15" t="n">
        <v>0.00071568</v>
      </c>
      <c r="AA30" s="15" t="n">
        <v>0.00070853</v>
      </c>
      <c r="AB30" s="15" t="n">
        <v>0.00070144</v>
      </c>
      <c r="AC30" s="15" t="n">
        <v>0.00069443</v>
      </c>
      <c r="AD30" s="15" t="n">
        <v>0.00068748</v>
      </c>
      <c r="AE30" s="15" t="n">
        <v>0.00068061</v>
      </c>
      <c r="AF30" s="15" t="n">
        <v>0.0006738</v>
      </c>
      <c r="AG30" s="15" t="n">
        <v>0.00066706</v>
      </c>
      <c r="AH30" s="15" t="n">
        <v>0.00066039</v>
      </c>
      <c r="AI30" s="15" t="n">
        <v>0.00065379</v>
      </c>
      <c r="AJ30" s="15" t="n">
        <v>0.00064725</v>
      </c>
      <c r="AK30" s="15" t="n">
        <v>0.00064078</v>
      </c>
      <c r="AL30" s="15" t="n">
        <v>0.00063437</v>
      </c>
      <c r="AM30" s="15" t="n">
        <v>0.00062803</v>
      </c>
      <c r="AN30" s="15" t="n">
        <v>0.00062175</v>
      </c>
      <c r="AO30" s="15" t="n">
        <v>0.00061553</v>
      </c>
      <c r="AP30" s="15" t="n">
        <v>0.00060937</v>
      </c>
      <c r="AQ30" s="15" t="n">
        <v>0.00060328</v>
      </c>
      <c r="AR30" s="15" t="n">
        <v>0.00059725</v>
      </c>
      <c r="AS30" s="15" t="n">
        <v>0.00059128</v>
      </c>
      <c r="AT30" s="15" t="n">
        <v>0.00058536</v>
      </c>
      <c r="AU30" s="15" t="n">
        <v>0.00057951</v>
      </c>
      <c r="AV30" s="15" t="n">
        <v>0.00057371</v>
      </c>
      <c r="AW30" s="15" t="n">
        <v>0.00056798</v>
      </c>
      <c r="AX30" s="15" t="n">
        <v>0.0005623</v>
      </c>
      <c r="AY30" s="15" t="n">
        <v>0.00055667</v>
      </c>
      <c r="AZ30" s="15" t="n">
        <v>0.0005511099999999999</v>
      </c>
      <c r="BA30" s="15" t="n">
        <v>0.0005456</v>
      </c>
      <c r="BB30" s="15" t="n">
        <v>0.00054014</v>
      </c>
      <c r="BC30" s="15" t="n">
        <v>0.00053474</v>
      </c>
      <c r="BD30" s="15" t="n">
        <v>0.00052939</v>
      </c>
      <c r="BE30" s="15" t="n">
        <v>0.0005241</v>
      </c>
      <c r="BF30" s="15" t="n">
        <v>0.00051886</v>
      </c>
      <c r="BG30" s="15" t="n">
        <v>0.00051367</v>
      </c>
      <c r="BH30" s="15" t="n">
        <v>0.00050853</v>
      </c>
      <c r="BI30" s="15" t="n">
        <v>0.00050345</v>
      </c>
      <c r="BJ30" s="15" t="n">
        <v>0.00049841</v>
      </c>
      <c r="BK30" s="15" t="n">
        <v>0.00049343</v>
      </c>
      <c r="BL30" s="15" t="n">
        <v>0.00048849</v>
      </c>
      <c r="BM30" s="15" t="n">
        <v>0.00048361</v>
      </c>
      <c r="BN30" s="15" t="n">
        <v>0.00047877</v>
      </c>
      <c r="BO30" s="15" t="n">
        <v>0.00047398</v>
      </c>
      <c r="BP30" s="15" t="n">
        <v>0.00046924</v>
      </c>
      <c r="BQ30" s="15" t="n">
        <v>0.00046455</v>
      </c>
      <c r="BR30" s="15" t="n">
        <v>0.00045991</v>
      </c>
      <c r="BS30" s="15" t="n">
        <v>0.00045531</v>
      </c>
      <c r="BT30" s="15" t="n">
        <v>0.00045075</v>
      </c>
      <c r="BU30" s="15" t="n">
        <v>0.00044625</v>
      </c>
      <c r="BV30" s="15" t="n">
        <v>0.00044178</v>
      </c>
      <c r="BW30" s="15" t="n">
        <v>0.00043737</v>
      </c>
      <c r="BX30" s="15" t="n">
        <v>0.00043299</v>
      </c>
    </row>
    <row r="31">
      <c r="A31" t="n">
        <v>28</v>
      </c>
      <c r="B31" s="15" t="n">
        <v>0.00095713</v>
      </c>
      <c r="C31" s="15" t="n">
        <v>0.00094401</v>
      </c>
      <c r="D31" s="15" t="n">
        <v>0.00093167</v>
      </c>
      <c r="E31" s="15" t="n">
        <v>0.00092006</v>
      </c>
      <c r="F31" s="15" t="n">
        <v>0.00090912</v>
      </c>
      <c r="G31" s="15" t="n">
        <v>0.00089879</v>
      </c>
      <c r="H31" s="15" t="n">
        <v>0.00088899</v>
      </c>
      <c r="I31" s="15" t="n">
        <v>0.00087963</v>
      </c>
      <c r="J31" s="15" t="n">
        <v>0.00087061</v>
      </c>
      <c r="K31" s="15" t="n">
        <v>0.0008618500000000001</v>
      </c>
      <c r="L31" s="15" t="n">
        <v>0.00085324</v>
      </c>
      <c r="M31" s="15" t="n">
        <v>0.0008447</v>
      </c>
      <c r="N31" s="15" t="n">
        <v>0.00083626</v>
      </c>
      <c r="O31" s="15" t="n">
        <v>0.00082789</v>
      </c>
      <c r="P31" s="15" t="n">
        <v>0.00081961</v>
      </c>
      <c r="Q31" s="15" t="n">
        <v>0.00081142</v>
      </c>
      <c r="R31" s="15" t="n">
        <v>0.0008033</v>
      </c>
      <c r="S31" s="15" t="n">
        <v>0.00079527</v>
      </c>
      <c r="T31" s="15" t="n">
        <v>0.00078732</v>
      </c>
      <c r="U31" s="15" t="n">
        <v>0.00077945</v>
      </c>
      <c r="V31" s="15" t="n">
        <v>0.00077165</v>
      </c>
      <c r="W31" s="15" t="n">
        <v>0.00076393</v>
      </c>
      <c r="X31" s="15" t="n">
        <v>0.00075629</v>
      </c>
      <c r="Y31" s="15" t="n">
        <v>0.00074873</v>
      </c>
      <c r="Z31" s="15" t="n">
        <v>0.00074124</v>
      </c>
      <c r="AA31" s="15" t="n">
        <v>0.00073383</v>
      </c>
      <c r="AB31" s="15" t="n">
        <v>0.00072649</v>
      </c>
      <c r="AC31" s="15" t="n">
        <v>0.00071923</v>
      </c>
      <c r="AD31" s="15" t="n">
        <v>0.00071204</v>
      </c>
      <c r="AE31" s="15" t="n">
        <v>0.00070492</v>
      </c>
      <c r="AF31" s="15" t="n">
        <v>0.00069787</v>
      </c>
      <c r="AG31" s="15" t="n">
        <v>0.00069089</v>
      </c>
      <c r="AH31" s="15" t="n">
        <v>0.00068398</v>
      </c>
      <c r="AI31" s="15" t="n">
        <v>0.00067714</v>
      </c>
      <c r="AJ31" s="15" t="n">
        <v>0.00067037</v>
      </c>
      <c r="AK31" s="15" t="n">
        <v>0.0006636600000000001</v>
      </c>
      <c r="AL31" s="15" t="n">
        <v>0.00065703</v>
      </c>
      <c r="AM31" s="15" t="n">
        <v>0.0006504599999999999</v>
      </c>
      <c r="AN31" s="15" t="n">
        <v>0.00064395</v>
      </c>
      <c r="AO31" s="15" t="n">
        <v>0.00063751</v>
      </c>
      <c r="AP31" s="15" t="n">
        <v>0.00063114</v>
      </c>
      <c r="AQ31" s="15" t="n">
        <v>0.00062483</v>
      </c>
      <c r="AR31" s="15" t="n">
        <v>0.00061858</v>
      </c>
      <c r="AS31" s="15" t="n">
        <v>0.00061239</v>
      </c>
      <c r="AT31" s="15" t="n">
        <v>0.00060627</v>
      </c>
      <c r="AU31" s="15" t="n">
        <v>0.00060021</v>
      </c>
      <c r="AV31" s="15" t="n">
        <v>0.0005942</v>
      </c>
      <c r="AW31" s="15" t="n">
        <v>0.00058826</v>
      </c>
      <c r="AX31" s="15" t="n">
        <v>0.00058238</v>
      </c>
      <c r="AY31" s="15" t="n">
        <v>0.00057656</v>
      </c>
      <c r="AZ31" s="15" t="n">
        <v>0.0005707899999999999</v>
      </c>
      <c r="BA31" s="15" t="n">
        <v>0.00056508</v>
      </c>
      <c r="BB31" s="15" t="n">
        <v>0.00055943</v>
      </c>
      <c r="BC31" s="15" t="n">
        <v>0.00055384</v>
      </c>
      <c r="BD31" s="15" t="n">
        <v>0.0005483</v>
      </c>
      <c r="BE31" s="15" t="n">
        <v>0.00054282</v>
      </c>
      <c r="BF31" s="15" t="n">
        <v>0.00053739</v>
      </c>
      <c r="BG31" s="15" t="n">
        <v>0.00053201</v>
      </c>
      <c r="BH31" s="15" t="n">
        <v>0.00052669</v>
      </c>
      <c r="BI31" s="15" t="n">
        <v>0.00052143</v>
      </c>
      <c r="BJ31" s="15" t="n">
        <v>0.00051621</v>
      </c>
      <c r="BK31" s="15" t="n">
        <v>0.00051105</v>
      </c>
      <c r="BL31" s="15" t="n">
        <v>0.00050594</v>
      </c>
      <c r="BM31" s="15" t="n">
        <v>0.00050088</v>
      </c>
      <c r="BN31" s="15" t="n">
        <v>0.00049587</v>
      </c>
      <c r="BO31" s="15" t="n">
        <v>0.00049091</v>
      </c>
      <c r="BP31" s="15" t="n">
        <v>0.000486</v>
      </c>
      <c r="BQ31" s="15" t="n">
        <v>0.00048114</v>
      </c>
      <c r="BR31" s="15" t="n">
        <v>0.00047633</v>
      </c>
      <c r="BS31" s="15" t="n">
        <v>0.00047157</v>
      </c>
      <c r="BT31" s="15" t="n">
        <v>0.00046685</v>
      </c>
      <c r="BU31" s="15" t="n">
        <v>0.00046218</v>
      </c>
      <c r="BV31" s="15" t="n">
        <v>0.00045756</v>
      </c>
      <c r="BW31" s="15" t="n">
        <v>0.00045299</v>
      </c>
      <c r="BX31" s="15" t="n">
        <v>0.00044846</v>
      </c>
    </row>
    <row r="32">
      <c r="A32" t="n">
        <v>29</v>
      </c>
      <c r="B32" s="15" t="n">
        <v>0.0009800200000000001</v>
      </c>
      <c r="C32" s="15" t="n">
        <v>0.00096668</v>
      </c>
      <c r="D32" s="15" t="n">
        <v>0.00095413</v>
      </c>
      <c r="E32" s="15" t="n">
        <v>0.00094231</v>
      </c>
      <c r="F32" s="15" t="n">
        <v>0.0009311499999999999</v>
      </c>
      <c r="G32" s="15" t="n">
        <v>0.00092061</v>
      </c>
      <c r="H32" s="15" t="n">
        <v>0.00091059</v>
      </c>
      <c r="I32" s="15" t="n">
        <v>0.00090101</v>
      </c>
      <c r="J32" s="15" t="n">
        <v>0.0008917900000000001</v>
      </c>
      <c r="K32" s="15" t="n">
        <v>0.00088282</v>
      </c>
      <c r="L32" s="15" t="n">
        <v>0.0008739900000000001</v>
      </c>
      <c r="M32" s="15" t="n">
        <v>0.00086525</v>
      </c>
      <c r="N32" s="15" t="n">
        <v>0.00085659</v>
      </c>
      <c r="O32" s="15" t="n">
        <v>0.0008480300000000001</v>
      </c>
      <c r="P32" s="15" t="n">
        <v>0.00083955</v>
      </c>
      <c r="Q32" s="15" t="n">
        <v>0.00083115</v>
      </c>
      <c r="R32" s="15" t="n">
        <v>0.00082284</v>
      </c>
      <c r="S32" s="15" t="n">
        <v>0.00081461</v>
      </c>
      <c r="T32" s="15" t="n">
        <v>0.00080647</v>
      </c>
      <c r="U32" s="15" t="n">
        <v>0.0007984</v>
      </c>
      <c r="V32" s="15" t="n">
        <v>0.00079042</v>
      </c>
      <c r="W32" s="15" t="n">
        <v>0.00078251</v>
      </c>
      <c r="X32" s="15" t="n">
        <v>0.00077469</v>
      </c>
      <c r="Y32" s="15" t="n">
        <v>0.00076694</v>
      </c>
      <c r="Z32" s="15" t="n">
        <v>0.00075927</v>
      </c>
      <c r="AA32" s="15" t="n">
        <v>0.00075168</v>
      </c>
      <c r="AB32" s="15" t="n">
        <v>0.00074416</v>
      </c>
      <c r="AC32" s="15" t="n">
        <v>0.00073672</v>
      </c>
      <c r="AD32" s="15" t="n">
        <v>0.00072935</v>
      </c>
      <c r="AE32" s="15" t="n">
        <v>0.00072206</v>
      </c>
      <c r="AF32" s="15" t="n">
        <v>0.00071484</v>
      </c>
      <c r="AG32" s="15" t="n">
        <v>0.00070769</v>
      </c>
      <c r="AH32" s="15" t="n">
        <v>0.0007006099999999999</v>
      </c>
      <c r="AI32" s="15" t="n">
        <v>0.00069361</v>
      </c>
      <c r="AJ32" s="15" t="n">
        <v>0.00068667</v>
      </c>
      <c r="AK32" s="15" t="n">
        <v>0.00067981</v>
      </c>
      <c r="AL32" s="15" t="n">
        <v>0.00067301</v>
      </c>
      <c r="AM32" s="15" t="n">
        <v>0.00066628</v>
      </c>
      <c r="AN32" s="15" t="n">
        <v>0.00065961</v>
      </c>
      <c r="AO32" s="15" t="n">
        <v>0.00065302</v>
      </c>
      <c r="AP32" s="15" t="n">
        <v>0.00064649</v>
      </c>
      <c r="AQ32" s="15" t="n">
        <v>0.00064002</v>
      </c>
      <c r="AR32" s="15" t="n">
        <v>0.00063362</v>
      </c>
      <c r="AS32" s="15" t="n">
        <v>0.00062729</v>
      </c>
      <c r="AT32" s="15" t="n">
        <v>0.00062101</v>
      </c>
      <c r="AU32" s="15" t="n">
        <v>0.0006148</v>
      </c>
      <c r="AV32" s="15" t="n">
        <v>0.00060866</v>
      </c>
      <c r="AW32" s="15" t="n">
        <v>0.00060257</v>
      </c>
      <c r="AX32" s="15" t="n">
        <v>0.00059654</v>
      </c>
      <c r="AY32" s="15" t="n">
        <v>0.0005905799999999999</v>
      </c>
      <c r="AZ32" s="15" t="n">
        <v>0.00058467</v>
      </c>
      <c r="BA32" s="15" t="n">
        <v>0.00057883</v>
      </c>
      <c r="BB32" s="15" t="n">
        <v>0.00057304</v>
      </c>
      <c r="BC32" s="15" t="n">
        <v>0.00056731</v>
      </c>
      <c r="BD32" s="15" t="n">
        <v>0.00056163</v>
      </c>
      <c r="BE32" s="15" t="n">
        <v>0.00055602</v>
      </c>
      <c r="BF32" s="15" t="n">
        <v>0.00055046</v>
      </c>
      <c r="BG32" s="15" t="n">
        <v>0.00054495</v>
      </c>
      <c r="BH32" s="15" t="n">
        <v>0.0005395</v>
      </c>
      <c r="BI32" s="15" t="n">
        <v>0.00053411</v>
      </c>
      <c r="BJ32" s="15" t="n">
        <v>0.00052877</v>
      </c>
      <c r="BK32" s="15" t="n">
        <v>0.00052348</v>
      </c>
      <c r="BL32" s="15" t="n">
        <v>0.00051824</v>
      </c>
      <c r="BM32" s="15" t="n">
        <v>0.00051306</v>
      </c>
      <c r="BN32" s="15" t="n">
        <v>0.00050793</v>
      </c>
      <c r="BO32" s="15" t="n">
        <v>0.00050285</v>
      </c>
      <c r="BP32" s="15" t="n">
        <v>0.0004978199999999999</v>
      </c>
      <c r="BQ32" s="15" t="n">
        <v>0.00049285</v>
      </c>
      <c r="BR32" s="15" t="n">
        <v>0.00048792</v>
      </c>
      <c r="BS32" s="15" t="n">
        <v>0.00048304</v>
      </c>
      <c r="BT32" s="15" t="n">
        <v>0.00047821</v>
      </c>
      <c r="BU32" s="15" t="n">
        <v>0.00047343</v>
      </c>
      <c r="BV32" s="15" t="n">
        <v>0.00046869</v>
      </c>
      <c r="BW32" s="15" t="n">
        <v>0.000464</v>
      </c>
      <c r="BX32" s="15" t="n">
        <v>0.00045936</v>
      </c>
    </row>
    <row r="33">
      <c r="A33" t="n">
        <v>30</v>
      </c>
      <c r="B33" s="15" t="n">
        <v>0.00100107</v>
      </c>
      <c r="C33" s="15" t="n">
        <v>0.00098756</v>
      </c>
      <c r="D33" s="15" t="n">
        <v>0.00097484</v>
      </c>
      <c r="E33" s="15" t="n">
        <v>0.00096283</v>
      </c>
      <c r="F33" s="15" t="n">
        <v>0.0009515</v>
      </c>
      <c r="G33" s="15" t="n">
        <v>0.00094076</v>
      </c>
      <c r="H33" s="15" t="n">
        <v>0.00093055</v>
      </c>
      <c r="I33" s="15" t="n">
        <v>0.00092079</v>
      </c>
      <c r="J33" s="15" t="n">
        <v>0.00091137</v>
      </c>
      <c r="K33" s="15" t="n">
        <v>0.0009022</v>
      </c>
      <c r="L33" s="15" t="n">
        <v>0.00089318</v>
      </c>
      <c r="M33" s="15" t="n">
        <v>0.00088424</v>
      </c>
      <c r="N33" s="15" t="n">
        <v>0.0008754</v>
      </c>
      <c r="O33" s="15" t="n">
        <v>0.00086665</v>
      </c>
      <c r="P33" s="15" t="n">
        <v>0.00085798</v>
      </c>
      <c r="Q33" s="15" t="n">
        <v>0.0008494</v>
      </c>
      <c r="R33" s="15" t="n">
        <v>0.0008409100000000001</v>
      </c>
      <c r="S33" s="15" t="n">
        <v>0.0008325</v>
      </c>
      <c r="T33" s="15" t="n">
        <v>0.00082417</v>
      </c>
      <c r="U33" s="15" t="n">
        <v>0.00081593</v>
      </c>
      <c r="V33" s="15" t="n">
        <v>0.00080777</v>
      </c>
      <c r="W33" s="15" t="n">
        <v>0.0007997</v>
      </c>
      <c r="X33" s="15" t="n">
        <v>0.0007917</v>
      </c>
      <c r="Y33" s="15" t="n">
        <v>0.00078378</v>
      </c>
      <c r="Z33" s="15" t="n">
        <v>0.00077594</v>
      </c>
      <c r="AA33" s="15" t="n">
        <v>0.00076818</v>
      </c>
      <c r="AB33" s="15" t="n">
        <v>0.0007605</v>
      </c>
      <c r="AC33" s="15" t="n">
        <v>0.0007529</v>
      </c>
      <c r="AD33" s="15" t="n">
        <v>0.00074537</v>
      </c>
      <c r="AE33" s="15" t="n">
        <v>0.00073791</v>
      </c>
      <c r="AF33" s="15" t="n">
        <v>0.00073054</v>
      </c>
      <c r="AG33" s="15" t="n">
        <v>0.0007232300000000001</v>
      </c>
      <c r="AH33" s="15" t="n">
        <v>0.0007159999999999999</v>
      </c>
      <c r="AI33" s="15" t="n">
        <v>0.00070884</v>
      </c>
      <c r="AJ33" s="15" t="n">
        <v>0.00070175</v>
      </c>
      <c r="AK33" s="15" t="n">
        <v>0.00069473</v>
      </c>
      <c r="AL33" s="15" t="n">
        <v>0.00068778</v>
      </c>
      <c r="AM33" s="15" t="n">
        <v>0.00068091</v>
      </c>
      <c r="AN33" s="15" t="n">
        <v>0.0006741</v>
      </c>
      <c r="AO33" s="15" t="n">
        <v>0.00066736</v>
      </c>
      <c r="AP33" s="15" t="n">
        <v>0.00066068</v>
      </c>
      <c r="AQ33" s="15" t="n">
        <v>0.00065408</v>
      </c>
      <c r="AR33" s="15" t="n">
        <v>0.0006475400000000001</v>
      </c>
      <c r="AS33" s="15" t="n">
        <v>0.00064106</v>
      </c>
      <c r="AT33" s="15" t="n">
        <v>0.0006346499999999999</v>
      </c>
      <c r="AU33" s="15" t="n">
        <v>0.0006283</v>
      </c>
      <c r="AV33" s="15" t="n">
        <v>0.00062202</v>
      </c>
      <c r="AW33" s="15" t="n">
        <v>0.0006158</v>
      </c>
      <c r="AX33" s="15" t="n">
        <v>0.0006096400000000001</v>
      </c>
      <c r="AY33" s="15" t="n">
        <v>0.00060355</v>
      </c>
      <c r="AZ33" s="15" t="n">
        <v>0.00059751</v>
      </c>
      <c r="BA33" s="15" t="n">
        <v>0.0005915300000000001</v>
      </c>
      <c r="BB33" s="15" t="n">
        <v>0.00058562</v>
      </c>
      <c r="BC33" s="15" t="n">
        <v>0.00057976</v>
      </c>
      <c r="BD33" s="15" t="n">
        <v>0.00057397</v>
      </c>
      <c r="BE33" s="15" t="n">
        <v>0.00056823</v>
      </c>
      <c r="BF33" s="15" t="n">
        <v>0.00056254</v>
      </c>
      <c r="BG33" s="15" t="n">
        <v>0.00055692</v>
      </c>
      <c r="BH33" s="15" t="n">
        <v>0.00055135</v>
      </c>
      <c r="BI33" s="15" t="n">
        <v>0.00054584</v>
      </c>
      <c r="BJ33" s="15" t="n">
        <v>0.00054038</v>
      </c>
      <c r="BK33" s="15" t="n">
        <v>0.00053497</v>
      </c>
      <c r="BL33" s="15" t="n">
        <v>0.00052962</v>
      </c>
      <c r="BM33" s="15" t="n">
        <v>0.00052433</v>
      </c>
      <c r="BN33" s="15" t="n">
        <v>0.00051908</v>
      </c>
      <c r="BO33" s="15" t="n">
        <v>0.00051389</v>
      </c>
      <c r="BP33" s="15" t="n">
        <v>0.00050875</v>
      </c>
      <c r="BQ33" s="15" t="n">
        <v>0.00050367</v>
      </c>
      <c r="BR33" s="15" t="n">
        <v>0.00049863</v>
      </c>
      <c r="BS33" s="15" t="n">
        <v>0.0004936400000000001</v>
      </c>
      <c r="BT33" s="15" t="n">
        <v>0.0004887099999999999</v>
      </c>
      <c r="BU33" s="15" t="n">
        <v>0.00048382</v>
      </c>
      <c r="BV33" s="15" t="n">
        <v>0.00047898</v>
      </c>
      <c r="BW33" s="15" t="n">
        <v>0.00047419</v>
      </c>
      <c r="BX33" s="15" t="n">
        <v>0.00046945</v>
      </c>
    </row>
    <row r="34">
      <c r="A34" t="n">
        <v>31</v>
      </c>
      <c r="B34" s="15" t="n">
        <v>0.00103341</v>
      </c>
      <c r="C34" s="15" t="n">
        <v>0.00101961</v>
      </c>
      <c r="D34" s="15" t="n">
        <v>0.00100659</v>
      </c>
      <c r="E34" s="15" t="n">
        <v>0.0009942900000000001</v>
      </c>
      <c r="F34" s="15" t="n">
        <v>0.0009826500000000001</v>
      </c>
      <c r="G34" s="15" t="n">
        <v>0.00097162</v>
      </c>
      <c r="H34" s="15" t="n">
        <v>0.00096111</v>
      </c>
      <c r="I34" s="15" t="n">
        <v>0.00095104</v>
      </c>
      <c r="J34" s="15" t="n">
        <v>0.00094132</v>
      </c>
      <c r="K34" s="15" t="n">
        <v>0.00093185</v>
      </c>
      <c r="L34" s="15" t="n">
        <v>0.00092253</v>
      </c>
      <c r="M34" s="15" t="n">
        <v>0.0009133</v>
      </c>
      <c r="N34" s="15" t="n">
        <v>0.00090417</v>
      </c>
      <c r="O34" s="15" t="n">
        <v>0.0008951299999999999</v>
      </c>
      <c r="P34" s="15" t="n">
        <v>0.00088618</v>
      </c>
      <c r="Q34" s="15" t="n">
        <v>0.00087732</v>
      </c>
      <c r="R34" s="15" t="n">
        <v>0.00086854</v>
      </c>
      <c r="S34" s="15" t="n">
        <v>0.0008598600000000001</v>
      </c>
      <c r="T34" s="15" t="n">
        <v>0.00085126</v>
      </c>
      <c r="U34" s="15" t="n">
        <v>0.00084275</v>
      </c>
      <c r="V34" s="15" t="n">
        <v>0.00083432</v>
      </c>
      <c r="W34" s="15" t="n">
        <v>0.00082598</v>
      </c>
      <c r="X34" s="15" t="n">
        <v>0.00081772</v>
      </c>
      <c r="Y34" s="15" t="n">
        <v>0.00080954</v>
      </c>
      <c r="Z34" s="15" t="n">
        <v>0.0008014400000000001</v>
      </c>
      <c r="AA34" s="15" t="n">
        <v>0.00079343</v>
      </c>
      <c r="AB34" s="15" t="n">
        <v>0.0007855</v>
      </c>
      <c r="AC34" s="15" t="n">
        <v>0.00077764</v>
      </c>
      <c r="AD34" s="15" t="n">
        <v>0.00076986</v>
      </c>
      <c r="AE34" s="15" t="n">
        <v>0.0007621699999999999</v>
      </c>
      <c r="AF34" s="15" t="n">
        <v>0.0007545400000000001</v>
      </c>
      <c r="AG34" s="15" t="n">
        <v>0.0007470000000000001</v>
      </c>
      <c r="AH34" s="15" t="n">
        <v>0.00073953</v>
      </c>
      <c r="AI34" s="15" t="n">
        <v>0.00073213</v>
      </c>
      <c r="AJ34" s="15" t="n">
        <v>0.00072481</v>
      </c>
      <c r="AK34" s="15" t="n">
        <v>0.00071756</v>
      </c>
      <c r="AL34" s="15" t="n">
        <v>0.00071039</v>
      </c>
      <c r="AM34" s="15" t="n">
        <v>0.00070328</v>
      </c>
      <c r="AN34" s="15" t="n">
        <v>0.00069625</v>
      </c>
      <c r="AO34" s="15" t="n">
        <v>0.00068929</v>
      </c>
      <c r="AP34" s="15" t="n">
        <v>0.0006824</v>
      </c>
      <c r="AQ34" s="15" t="n">
        <v>0.00067557</v>
      </c>
      <c r="AR34" s="15" t="n">
        <v>0.00066882</v>
      </c>
      <c r="AS34" s="15" t="n">
        <v>0.00066213</v>
      </c>
      <c r="AT34" s="15" t="n">
        <v>0.00065551</v>
      </c>
      <c r="AU34" s="15" t="n">
        <v>0.00064895</v>
      </c>
      <c r="AV34" s="15" t="n">
        <v>0.00064246</v>
      </c>
      <c r="AW34" s="15" t="n">
        <v>0.00063604</v>
      </c>
      <c r="AX34" s="15" t="n">
        <v>0.00062968</v>
      </c>
      <c r="AY34" s="15" t="n">
        <v>0.00062338</v>
      </c>
      <c r="AZ34" s="15" t="n">
        <v>0.00061715</v>
      </c>
      <c r="BA34" s="15" t="n">
        <v>0.00061098</v>
      </c>
      <c r="BB34" s="15" t="n">
        <v>0.00060487</v>
      </c>
      <c r="BC34" s="15" t="n">
        <v>0.00059882</v>
      </c>
      <c r="BD34" s="15" t="n">
        <v>0.00059283</v>
      </c>
      <c r="BE34" s="15" t="n">
        <v>0.0005869</v>
      </c>
      <c r="BF34" s="15" t="n">
        <v>0.00058103</v>
      </c>
      <c r="BG34" s="15" t="n">
        <v>0.00057522</v>
      </c>
      <c r="BH34" s="15" t="n">
        <v>0.00056947</v>
      </c>
      <c r="BI34" s="15" t="n">
        <v>0.00056377</v>
      </c>
      <c r="BJ34" s="15" t="n">
        <v>0.00055814</v>
      </c>
      <c r="BK34" s="15" t="n">
        <v>0.00055255</v>
      </c>
      <c r="BL34" s="15" t="n">
        <v>0.00054703</v>
      </c>
      <c r="BM34" s="15" t="n">
        <v>0.00054156</v>
      </c>
      <c r="BN34" s="15" t="n">
        <v>0.0005361400000000001</v>
      </c>
      <c r="BO34" s="15" t="n">
        <v>0.00053078</v>
      </c>
      <c r="BP34" s="15" t="n">
        <v>0.00052547</v>
      </c>
      <c r="BQ34" s="15" t="n">
        <v>0.0005202199999999999</v>
      </c>
      <c r="BR34" s="15" t="n">
        <v>0.00051502</v>
      </c>
      <c r="BS34" s="15" t="n">
        <v>0.00050987</v>
      </c>
      <c r="BT34" s="15" t="n">
        <v>0.00050477</v>
      </c>
      <c r="BU34" s="15" t="n">
        <v>0.00049972</v>
      </c>
      <c r="BV34" s="15" t="n">
        <v>0.00049472</v>
      </c>
      <c r="BW34" s="15" t="n">
        <v>0.00048978</v>
      </c>
      <c r="BX34" s="15" t="n">
        <v>0.00048488</v>
      </c>
    </row>
    <row r="35">
      <c r="A35" t="n">
        <v>32</v>
      </c>
      <c r="B35" s="15" t="n">
        <v>0.00107781</v>
      </c>
      <c r="C35" s="15" t="n">
        <v>0.00106358</v>
      </c>
      <c r="D35" s="15" t="n">
        <v>0.00105014</v>
      </c>
      <c r="E35" s="15" t="n">
        <v>0.00103741</v>
      </c>
      <c r="F35" s="15" t="n">
        <v>0.00102536</v>
      </c>
      <c r="G35" s="15" t="n">
        <v>0.0010139</v>
      </c>
      <c r="H35" s="15" t="n">
        <v>0.00100297</v>
      </c>
      <c r="I35" s="15" t="n">
        <v>0.00099248</v>
      </c>
      <c r="J35" s="15" t="n">
        <v>0.0009823500000000001</v>
      </c>
      <c r="K35" s="15" t="n">
        <v>0.00097247</v>
      </c>
      <c r="L35" s="15" t="n">
        <v>0.00096275</v>
      </c>
      <c r="M35" s="15" t="n">
        <v>0.00095312</v>
      </c>
      <c r="N35" s="15" t="n">
        <v>0.00094359</v>
      </c>
      <c r="O35" s="15" t="n">
        <v>0.00093415</v>
      </c>
      <c r="P35" s="15" t="n">
        <v>0.00092481</v>
      </c>
      <c r="Q35" s="15" t="n">
        <v>0.0009155600000000001</v>
      </c>
      <c r="R35" s="15" t="n">
        <v>0.00090641</v>
      </c>
      <c r="S35" s="15" t="n">
        <v>0.0008973400000000001</v>
      </c>
      <c r="T35" s="15" t="n">
        <v>0.00088837</v>
      </c>
      <c r="U35" s="15" t="n">
        <v>0.00087949</v>
      </c>
      <c r="V35" s="15" t="n">
        <v>0.00087069</v>
      </c>
      <c r="W35" s="15" t="n">
        <v>0.00086198</v>
      </c>
      <c r="X35" s="15" t="n">
        <v>0.0008533599999999999</v>
      </c>
      <c r="Y35" s="15" t="n">
        <v>0.00084483</v>
      </c>
      <c r="Z35" s="15" t="n">
        <v>0.00083638</v>
      </c>
      <c r="AA35" s="15" t="n">
        <v>0.0008280199999999999</v>
      </c>
      <c r="AB35" s="15" t="n">
        <v>0.00081974</v>
      </c>
      <c r="AC35" s="15" t="n">
        <v>0.00081154</v>
      </c>
      <c r="AD35" s="15" t="n">
        <v>0.00080342</v>
      </c>
      <c r="AE35" s="15" t="n">
        <v>0.00079539</v>
      </c>
      <c r="AF35" s="15" t="n">
        <v>0.00078744</v>
      </c>
      <c r="AG35" s="15" t="n">
        <v>0.00077956</v>
      </c>
      <c r="AH35" s="15" t="n">
        <v>0.00077177</v>
      </c>
      <c r="AI35" s="15" t="n">
        <v>0.00076405</v>
      </c>
      <c r="AJ35" s="15" t="n">
        <v>0.00075641</v>
      </c>
      <c r="AK35" s="15" t="n">
        <v>0.00074884</v>
      </c>
      <c r="AL35" s="15" t="n">
        <v>0.00074136</v>
      </c>
      <c r="AM35" s="15" t="n">
        <v>0.00073394</v>
      </c>
      <c r="AN35" s="15" t="n">
        <v>0.0007266</v>
      </c>
      <c r="AO35" s="15" t="n">
        <v>0.00071934</v>
      </c>
      <c r="AP35" s="15" t="n">
        <v>0.00071214</v>
      </c>
      <c r="AQ35" s="15" t="n">
        <v>0.00070502</v>
      </c>
      <c r="AR35" s="15" t="n">
        <v>0.00069797</v>
      </c>
      <c r="AS35" s="15" t="n">
        <v>0.0006909900000000001</v>
      </c>
      <c r="AT35" s="15" t="n">
        <v>0.00068408</v>
      </c>
      <c r="AU35" s="15" t="n">
        <v>0.00067724</v>
      </c>
      <c r="AV35" s="15" t="n">
        <v>0.0006704700000000001</v>
      </c>
      <c r="AW35" s="15" t="n">
        <v>0.00066376</v>
      </c>
      <c r="AX35" s="15" t="n">
        <v>0.00065713</v>
      </c>
      <c r="AY35" s="15" t="n">
        <v>0.00065056</v>
      </c>
      <c r="AZ35" s="15" t="n">
        <v>0.00064405</v>
      </c>
      <c r="BA35" s="15" t="n">
        <v>0.00063761</v>
      </c>
      <c r="BB35" s="15" t="n">
        <v>0.00063123</v>
      </c>
      <c r="BC35" s="15" t="n">
        <v>0.0006249199999999999</v>
      </c>
      <c r="BD35" s="15" t="n">
        <v>0.00061867</v>
      </c>
      <c r="BE35" s="15" t="n">
        <v>0.00061249</v>
      </c>
      <c r="BF35" s="15" t="n">
        <v>0.00060636</v>
      </c>
      <c r="BG35" s="15" t="n">
        <v>0.0006003</v>
      </c>
      <c r="BH35" s="15" t="n">
        <v>0.00059429</v>
      </c>
      <c r="BI35" s="15" t="n">
        <v>0.00058835</v>
      </c>
      <c r="BJ35" s="15" t="n">
        <v>0.00058247</v>
      </c>
      <c r="BK35" s="15" t="n">
        <v>0.00057664</v>
      </c>
      <c r="BL35" s="15" t="n">
        <v>0.00057088</v>
      </c>
      <c r="BM35" s="15" t="n">
        <v>0.00056517</v>
      </c>
      <c r="BN35" s="15" t="n">
        <v>0.00055952</v>
      </c>
      <c r="BO35" s="15" t="n">
        <v>0.00055392</v>
      </c>
      <c r="BP35" s="15" t="n">
        <v>0.00054838</v>
      </c>
      <c r="BQ35" s="15" t="n">
        <v>0.0005429</v>
      </c>
      <c r="BR35" s="15" t="n">
        <v>0.00053747</v>
      </c>
      <c r="BS35" s="15" t="n">
        <v>0.00053209</v>
      </c>
      <c r="BT35" s="15" t="n">
        <v>0.00052677</v>
      </c>
      <c r="BU35" s="15" t="n">
        <v>0.00052151</v>
      </c>
      <c r="BV35" s="15" t="n">
        <v>0.00051629</v>
      </c>
      <c r="BW35" s="15" t="n">
        <v>0.00051113</v>
      </c>
      <c r="BX35" s="15" t="n">
        <v>0.00050602</v>
      </c>
    </row>
    <row r="36">
      <c r="A36" t="n">
        <v>33</v>
      </c>
      <c r="B36" s="15" t="n">
        <v>0.00112178</v>
      </c>
      <c r="C36" s="15" t="n">
        <v>0.00110716</v>
      </c>
      <c r="D36" s="15" t="n">
        <v>0.00109331</v>
      </c>
      <c r="E36" s="15" t="n">
        <v>0.00108018</v>
      </c>
      <c r="F36" s="15" t="n">
        <v>0.00106772</v>
      </c>
      <c r="G36" s="15" t="n">
        <v>0.00105586</v>
      </c>
      <c r="H36" s="15" t="n">
        <v>0.00104451</v>
      </c>
      <c r="I36" s="15" t="n">
        <v>0.00103362</v>
      </c>
      <c r="J36" s="15" t="n">
        <v>0.00102307</v>
      </c>
      <c r="K36" s="15" t="n">
        <v>0.00101279</v>
      </c>
      <c r="L36" s="15" t="n">
        <v>0.00100266</v>
      </c>
      <c r="M36" s="15" t="n">
        <v>0.0009926399999999999</v>
      </c>
      <c r="N36" s="15" t="n">
        <v>0.0009827099999999999</v>
      </c>
      <c r="O36" s="15" t="n">
        <v>0.00097288</v>
      </c>
      <c r="P36" s="15" t="n">
        <v>0.00096315</v>
      </c>
      <c r="Q36" s="15" t="n">
        <v>0.00095352</v>
      </c>
      <c r="R36" s="15" t="n">
        <v>0.00094399</v>
      </c>
      <c r="S36" s="15" t="n">
        <v>0.00093455</v>
      </c>
      <c r="T36" s="15" t="n">
        <v>0.0009252</v>
      </c>
      <c r="U36" s="15" t="n">
        <v>0.00091595</v>
      </c>
      <c r="V36" s="15" t="n">
        <v>0.00090679</v>
      </c>
      <c r="W36" s="15" t="n">
        <v>0.00089772</v>
      </c>
      <c r="X36" s="15" t="n">
        <v>0.00088875</v>
      </c>
      <c r="Y36" s="15" t="n">
        <v>0.00087986</v>
      </c>
      <c r="Z36" s="15" t="n">
        <v>0.00087106</v>
      </c>
      <c r="AA36" s="15" t="n">
        <v>0.00086235</v>
      </c>
      <c r="AB36" s="15" t="n">
        <v>0.00085373</v>
      </c>
      <c r="AC36" s="15" t="n">
        <v>0.00084519</v>
      </c>
      <c r="AD36" s="15" t="n">
        <v>0.00083674</v>
      </c>
      <c r="AE36" s="15" t="n">
        <v>0.00082837</v>
      </c>
      <c r="AF36" s="15" t="n">
        <v>0.00082009</v>
      </c>
      <c r="AG36" s="15" t="n">
        <v>0.00081188</v>
      </c>
      <c r="AH36" s="15" t="n">
        <v>0.00080377</v>
      </c>
      <c r="AI36" s="15" t="n">
        <v>0.00079573</v>
      </c>
      <c r="AJ36" s="15" t="n">
        <v>0.00078777</v>
      </c>
      <c r="AK36" s="15" t="n">
        <v>0.00077989</v>
      </c>
      <c r="AL36" s="15" t="n">
        <v>0.00077209</v>
      </c>
      <c r="AM36" s="15" t="n">
        <v>0.00076437</v>
      </c>
      <c r="AN36" s="15" t="n">
        <v>0.0007567299999999999</v>
      </c>
      <c r="AO36" s="15" t="n">
        <v>0.00074916</v>
      </c>
      <c r="AP36" s="15" t="n">
        <v>0.00074167</v>
      </c>
      <c r="AQ36" s="15" t="n">
        <v>0.00073425</v>
      </c>
      <c r="AR36" s="15" t="n">
        <v>0.00072691</v>
      </c>
      <c r="AS36" s="15" t="n">
        <v>0.00071964</v>
      </c>
      <c r="AT36" s="15" t="n">
        <v>0.00071245</v>
      </c>
      <c r="AU36" s="15" t="n">
        <v>0.0007053199999999999</v>
      </c>
      <c r="AV36" s="15" t="n">
        <v>0.00069827</v>
      </c>
      <c r="AW36" s="15" t="n">
        <v>0.00069129</v>
      </c>
      <c r="AX36" s="15" t="n">
        <v>0.00068437</v>
      </c>
      <c r="AY36" s="15" t="n">
        <v>0.00067753</v>
      </c>
      <c r="AZ36" s="15" t="n">
        <v>0.00067075</v>
      </c>
      <c r="BA36" s="15" t="n">
        <v>0.00066405</v>
      </c>
      <c r="BB36" s="15" t="n">
        <v>0.00065741</v>
      </c>
      <c r="BC36" s="15" t="n">
        <v>0.00065083</v>
      </c>
      <c r="BD36" s="15" t="n">
        <v>0.00064432</v>
      </c>
      <c r="BE36" s="15" t="n">
        <v>0.00063788</v>
      </c>
      <c r="BF36" s="15" t="n">
        <v>0.0006315</v>
      </c>
      <c r="BG36" s="15" t="n">
        <v>0.00062519</v>
      </c>
      <c r="BH36" s="15" t="n">
        <v>0.00061893</v>
      </c>
      <c r="BI36" s="15" t="n">
        <v>0.00061274</v>
      </c>
      <c r="BJ36" s="15" t="n">
        <v>0.00060662</v>
      </c>
      <c r="BK36" s="15" t="n">
        <v>0.00060055</v>
      </c>
      <c r="BL36" s="15" t="n">
        <v>0.00059455</v>
      </c>
      <c r="BM36" s="15" t="n">
        <v>0.0005886</v>
      </c>
      <c r="BN36" s="15" t="n">
        <v>0.00058271</v>
      </c>
      <c r="BO36" s="15" t="n">
        <v>0.00057689</v>
      </c>
      <c r="BP36" s="15" t="n">
        <v>0.00057112</v>
      </c>
      <c r="BQ36" s="15" t="n">
        <v>0.00056541</v>
      </c>
      <c r="BR36" s="15" t="n">
        <v>0.00055975</v>
      </c>
      <c r="BS36" s="15" t="n">
        <v>0.00055416</v>
      </c>
      <c r="BT36" s="15" t="n">
        <v>0.00054861</v>
      </c>
      <c r="BU36" s="15" t="n">
        <v>0.00054313</v>
      </c>
      <c r="BV36" s="15" t="n">
        <v>0.0005377</v>
      </c>
      <c r="BW36" s="15" t="n">
        <v>0.00053232</v>
      </c>
      <c r="BX36" s="15" t="n">
        <v>0.000527</v>
      </c>
    </row>
    <row r="37">
      <c r="A37" t="n">
        <v>34</v>
      </c>
      <c r="B37" s="15" t="n">
        <v>0.00115478</v>
      </c>
      <c r="C37" s="15" t="n">
        <v>0.00113993</v>
      </c>
      <c r="D37" s="15" t="n">
        <v>0.00112583</v>
      </c>
      <c r="E37" s="15" t="n">
        <v>0.00111244</v>
      </c>
      <c r="F37" s="15" t="n">
        <v>0.0010997</v>
      </c>
      <c r="G37" s="15" t="n">
        <v>0.00108754</v>
      </c>
      <c r="H37" s="15" t="n">
        <v>0.00107591</v>
      </c>
      <c r="I37" s="15" t="n">
        <v>0.00106471</v>
      </c>
      <c r="J37" s="15" t="n">
        <v>0.00105386</v>
      </c>
      <c r="K37" s="15" t="n">
        <v>0.00104327</v>
      </c>
      <c r="L37" s="15" t="n">
        <v>0.00103284</v>
      </c>
      <c r="M37" s="15" t="n">
        <v>0.00102251</v>
      </c>
      <c r="N37" s="15" t="n">
        <v>0.00101229</v>
      </c>
      <c r="O37" s="15" t="n">
        <v>0.00100216</v>
      </c>
      <c r="P37" s="15" t="n">
        <v>0.0009921400000000001</v>
      </c>
      <c r="Q37" s="15" t="n">
        <v>0.00098222</v>
      </c>
      <c r="R37" s="15" t="n">
        <v>0.0009724</v>
      </c>
      <c r="S37" s="15" t="n">
        <v>0.00096267</v>
      </c>
      <c r="T37" s="15" t="n">
        <v>0.00095305</v>
      </c>
      <c r="U37" s="15" t="n">
        <v>0.00094352</v>
      </c>
      <c r="V37" s="15" t="n">
        <v>0.00093408</v>
      </c>
      <c r="W37" s="15" t="n">
        <v>0.00092474</v>
      </c>
      <c r="X37" s="15" t="n">
        <v>0.00091549</v>
      </c>
      <c r="Y37" s="15" t="n">
        <v>0.0009063400000000001</v>
      </c>
      <c r="Z37" s="15" t="n">
        <v>0.00089728</v>
      </c>
      <c r="AA37" s="15" t="n">
        <v>0.0008883</v>
      </c>
      <c r="AB37" s="15" t="n">
        <v>0.00087942</v>
      </c>
      <c r="AC37" s="15" t="n">
        <v>0.0008706299999999999</v>
      </c>
      <c r="AD37" s="15" t="n">
        <v>0.00086192</v>
      </c>
      <c r="AE37" s="15" t="n">
        <v>0.0008533</v>
      </c>
      <c r="AF37" s="15" t="n">
        <v>0.00084477</v>
      </c>
      <c r="AG37" s="15" t="n">
        <v>0.00083632</v>
      </c>
      <c r="AH37" s="15" t="n">
        <v>0.00082796</v>
      </c>
      <c r="AI37" s="15" t="n">
        <v>0.00081968</v>
      </c>
      <c r="AJ37" s="15" t="n">
        <v>0.0008114799999999999</v>
      </c>
      <c r="AK37" s="15" t="n">
        <v>0.00080336</v>
      </c>
      <c r="AL37" s="15" t="n">
        <v>0.00079533</v>
      </c>
      <c r="AM37" s="15" t="n">
        <v>0.00078738</v>
      </c>
      <c r="AN37" s="15" t="n">
        <v>0.0007795</v>
      </c>
      <c r="AO37" s="15" t="n">
        <v>0.00077171</v>
      </c>
      <c r="AP37" s="15" t="n">
        <v>0.00076399</v>
      </c>
      <c r="AQ37" s="15" t="n">
        <v>0.00075635</v>
      </c>
      <c r="AR37" s="15" t="n">
        <v>0.00074879</v>
      </c>
      <c r="AS37" s="15" t="n">
        <v>0.0007413</v>
      </c>
      <c r="AT37" s="15" t="n">
        <v>0.00073389</v>
      </c>
      <c r="AU37" s="15" t="n">
        <v>0.00072655</v>
      </c>
      <c r="AV37" s="15" t="n">
        <v>0.00071928</v>
      </c>
      <c r="AW37" s="15" t="n">
        <v>0.00071209</v>
      </c>
      <c r="AX37" s="15" t="n">
        <v>0.00070497</v>
      </c>
      <c r="AY37" s="15" t="n">
        <v>0.00069792</v>
      </c>
      <c r="AZ37" s="15" t="n">
        <v>0.00069094</v>
      </c>
      <c r="BA37" s="15" t="n">
        <v>0.00068403</v>
      </c>
      <c r="BB37" s="15" t="n">
        <v>0.00067719</v>
      </c>
      <c r="BC37" s="15" t="n">
        <v>0.00067042</v>
      </c>
      <c r="BD37" s="15" t="n">
        <v>0.00066371</v>
      </c>
      <c r="BE37" s="15" t="n">
        <v>0.00065708</v>
      </c>
      <c r="BF37" s="15" t="n">
        <v>0.00065051</v>
      </c>
      <c r="BG37" s="15" t="n">
        <v>0.000644</v>
      </c>
      <c r="BH37" s="15" t="n">
        <v>0.00063756</v>
      </c>
      <c r="BI37" s="15" t="n">
        <v>0.00063119</v>
      </c>
      <c r="BJ37" s="15" t="n">
        <v>0.00062487</v>
      </c>
      <c r="BK37" s="15" t="n">
        <v>0.00061863</v>
      </c>
      <c r="BL37" s="15" t="n">
        <v>0.00061244</v>
      </c>
      <c r="BM37" s="15" t="n">
        <v>0.00060631</v>
      </c>
      <c r="BN37" s="15" t="n">
        <v>0.00060025</v>
      </c>
      <c r="BO37" s="15" t="n">
        <v>0.0005942500000000001</v>
      </c>
      <c r="BP37" s="15" t="n">
        <v>0.00058831</v>
      </c>
      <c r="BQ37" s="15" t="n">
        <v>0.0005824200000000001</v>
      </c>
      <c r="BR37" s="15" t="n">
        <v>0.0005766</v>
      </c>
      <c r="BS37" s="15" t="n">
        <v>0.00057083</v>
      </c>
      <c r="BT37" s="15" t="n">
        <v>0.00056513</v>
      </c>
      <c r="BU37" s="15" t="n">
        <v>0.00055947</v>
      </c>
      <c r="BV37" s="15" t="n">
        <v>0.00055388</v>
      </c>
      <c r="BW37" s="15" t="n">
        <v>0.00054834</v>
      </c>
      <c r="BX37" s="15" t="n">
        <v>0.00054286</v>
      </c>
    </row>
    <row r="38">
      <c r="A38" t="n">
        <v>35</v>
      </c>
      <c r="B38" s="15" t="n">
        <v>0.00118019</v>
      </c>
      <c r="C38" s="15" t="n">
        <v>0.00116521</v>
      </c>
      <c r="D38" s="15" t="n">
        <v>0.00115096</v>
      </c>
      <c r="E38" s="15" t="n">
        <v>0.00113739</v>
      </c>
      <c r="F38" s="15" t="n">
        <v>0.00112446</v>
      </c>
      <c r="G38" s="15" t="n">
        <v>0.00111211</v>
      </c>
      <c r="H38" s="15" t="n">
        <v>0.00110025</v>
      </c>
      <c r="I38" s="15" t="n">
        <v>0.00108883</v>
      </c>
      <c r="J38" s="15" t="n">
        <v>0.00107775</v>
      </c>
      <c r="K38" s="15" t="n">
        <v>0.00106692</v>
      </c>
      <c r="L38" s="15" t="n">
        <v>0.00105625</v>
      </c>
      <c r="M38" s="15" t="n">
        <v>0.00104569</v>
      </c>
      <c r="N38" s="15" t="n">
        <v>0.00103523</v>
      </c>
      <c r="O38" s="15" t="n">
        <v>0.00102488</v>
      </c>
      <c r="P38" s="15" t="n">
        <v>0.00101463</v>
      </c>
      <c r="Q38" s="15" t="n">
        <v>0.00100448</v>
      </c>
      <c r="R38" s="15" t="n">
        <v>0.0009944400000000001</v>
      </c>
      <c r="S38" s="15" t="n">
        <v>0.00098449</v>
      </c>
      <c r="T38" s="15" t="n">
        <v>0.00097465</v>
      </c>
      <c r="U38" s="15" t="n">
        <v>0.0009649</v>
      </c>
      <c r="V38" s="15" t="n">
        <v>0.00095525</v>
      </c>
      <c r="W38" s="15" t="n">
        <v>0.0009456999999999999</v>
      </c>
      <c r="X38" s="15" t="n">
        <v>0.00093624</v>
      </c>
      <c r="Y38" s="15" t="n">
        <v>0.00092688</v>
      </c>
      <c r="Z38" s="15" t="n">
        <v>0.00091761</v>
      </c>
      <c r="AA38" s="15" t="n">
        <v>0.0009084400000000001</v>
      </c>
      <c r="AB38" s="15" t="n">
        <v>0.00089935</v>
      </c>
      <c r="AC38" s="15" t="n">
        <v>0.00089036</v>
      </c>
      <c r="AD38" s="15" t="n">
        <v>0.00088146</v>
      </c>
      <c r="AE38" s="15" t="n">
        <v>0.00087264</v>
      </c>
      <c r="AF38" s="15" t="n">
        <v>0.00086392</v>
      </c>
      <c r="AG38" s="15" t="n">
        <v>0.00085528</v>
      </c>
      <c r="AH38" s="15" t="n">
        <v>0.00084672</v>
      </c>
      <c r="AI38" s="15" t="n">
        <v>0.00083826</v>
      </c>
      <c r="AJ38" s="15" t="n">
        <v>0.00082987</v>
      </c>
      <c r="AK38" s="15" t="n">
        <v>0.00082157</v>
      </c>
      <c r="AL38" s="15" t="n">
        <v>0.00081336</v>
      </c>
      <c r="AM38" s="15" t="n">
        <v>0.00080523</v>
      </c>
      <c r="AN38" s="15" t="n">
        <v>0.00079717</v>
      </c>
      <c r="AO38" s="15" t="n">
        <v>0.0007892</v>
      </c>
      <c r="AP38" s="15" t="n">
        <v>0.00078131</v>
      </c>
      <c r="AQ38" s="15" t="n">
        <v>0.0007735</v>
      </c>
      <c r="AR38" s="15" t="n">
        <v>0.00076576</v>
      </c>
      <c r="AS38" s="15" t="n">
        <v>0.0007581</v>
      </c>
      <c r="AT38" s="15" t="n">
        <v>0.00075052</v>
      </c>
      <c r="AU38" s="15" t="n">
        <v>0.0007430200000000001</v>
      </c>
      <c r="AV38" s="15" t="n">
        <v>0.0007355900000000001</v>
      </c>
      <c r="AW38" s="15" t="n">
        <v>0.00072823</v>
      </c>
      <c r="AX38" s="15" t="n">
        <v>0.00072095</v>
      </c>
      <c r="AY38" s="15" t="n">
        <v>0.00071374</v>
      </c>
      <c r="AZ38" s="15" t="n">
        <v>0.0007066</v>
      </c>
      <c r="BA38" s="15" t="n">
        <v>0.00069954</v>
      </c>
      <c r="BB38" s="15" t="n">
        <v>0.00069254</v>
      </c>
      <c r="BC38" s="15" t="n">
        <v>0.00068562</v>
      </c>
      <c r="BD38" s="15" t="n">
        <v>0.00067876</v>
      </c>
      <c r="BE38" s="15" t="n">
        <v>0.00067197</v>
      </c>
      <c r="BF38" s="15" t="n">
        <v>0.00066525</v>
      </c>
      <c r="BG38" s="15" t="n">
        <v>0.0006586</v>
      </c>
      <c r="BH38" s="15" t="n">
        <v>0.00065201</v>
      </c>
      <c r="BI38" s="15" t="n">
        <v>0.00064549</v>
      </c>
      <c r="BJ38" s="15" t="n">
        <v>0.00063904</v>
      </c>
      <c r="BK38" s="15" t="n">
        <v>0.00063265</v>
      </c>
      <c r="BL38" s="15" t="n">
        <v>0.00062632</v>
      </c>
      <c r="BM38" s="15" t="n">
        <v>0.00062006</v>
      </c>
      <c r="BN38" s="15" t="n">
        <v>0.00061386</v>
      </c>
      <c r="BO38" s="15" t="n">
        <v>0.00060772</v>
      </c>
      <c r="BP38" s="15" t="n">
        <v>0.00060164</v>
      </c>
      <c r="BQ38" s="15" t="n">
        <v>0.00059563</v>
      </c>
      <c r="BR38" s="15" t="n">
        <v>0.00058967</v>
      </c>
      <c r="BS38" s="15" t="n">
        <v>0.0005837699999999999</v>
      </c>
      <c r="BT38" s="15" t="n">
        <v>0.00057793</v>
      </c>
      <c r="BU38" s="15" t="n">
        <v>0.0005721600000000001</v>
      </c>
      <c r="BV38" s="15" t="n">
        <v>0.00056643</v>
      </c>
      <c r="BW38" s="15" t="n">
        <v>0.00056077</v>
      </c>
      <c r="BX38" s="15" t="n">
        <v>0.00055516</v>
      </c>
    </row>
    <row r="39">
      <c r="A39" t="n">
        <v>36</v>
      </c>
      <c r="B39" s="15" t="n">
        <v>0.00120563</v>
      </c>
      <c r="C39" s="15" t="n">
        <v>0.00119052</v>
      </c>
      <c r="D39" s="15" t="n">
        <v>0.00117612</v>
      </c>
      <c r="E39" s="15" t="n">
        <v>0.00116238</v>
      </c>
      <c r="F39" s="15" t="n">
        <v>0.00114926</v>
      </c>
      <c r="G39" s="15" t="n">
        <v>0.0011367</v>
      </c>
      <c r="H39" s="15" t="n">
        <v>0.00112463</v>
      </c>
      <c r="I39" s="15" t="n">
        <v>0.00111298</v>
      </c>
      <c r="J39" s="15" t="n">
        <v>0.00110166</v>
      </c>
      <c r="K39" s="15" t="n">
        <v>0.0010906</v>
      </c>
      <c r="L39" s="15" t="n">
        <v>0.00107969</v>
      </c>
      <c r="M39" s="15" t="n">
        <v>0.0010689</v>
      </c>
      <c r="N39" s="15" t="n">
        <v>0.00105821</v>
      </c>
      <c r="O39" s="15" t="n">
        <v>0.00104762</v>
      </c>
      <c r="P39" s="15" t="n">
        <v>0.00103715</v>
      </c>
      <c r="Q39" s="15" t="n">
        <v>0.00102678</v>
      </c>
      <c r="R39" s="15" t="n">
        <v>0.00101651</v>
      </c>
      <c r="S39" s="15" t="n">
        <v>0.00100634</v>
      </c>
      <c r="T39" s="15" t="n">
        <v>0.00099628</v>
      </c>
      <c r="U39" s="15" t="n">
        <v>0.0009863199999999999</v>
      </c>
      <c r="V39" s="15" t="n">
        <v>0.00097645</v>
      </c>
      <c r="W39" s="15" t="n">
        <v>0.00096669</v>
      </c>
      <c r="X39" s="15" t="n">
        <v>0.00095702</v>
      </c>
      <c r="Y39" s="15" t="n">
        <v>0.00094745</v>
      </c>
      <c r="Z39" s="15" t="n">
        <v>0.00093798</v>
      </c>
      <c r="AA39" s="15" t="n">
        <v>0.0009286</v>
      </c>
      <c r="AB39" s="15" t="n">
        <v>0.00091931</v>
      </c>
      <c r="AC39" s="15" t="n">
        <v>0.00091012</v>
      </c>
      <c r="AD39" s="15" t="n">
        <v>0.00090102</v>
      </c>
      <c r="AE39" s="15" t="n">
        <v>0.00089201</v>
      </c>
      <c r="AF39" s="15" t="n">
        <v>0.00088309</v>
      </c>
      <c r="AG39" s="15" t="n">
        <v>0.00087426</v>
      </c>
      <c r="AH39" s="15" t="n">
        <v>0.00086551</v>
      </c>
      <c r="AI39" s="15" t="n">
        <v>0.00085686</v>
      </c>
      <c r="AJ39" s="15" t="n">
        <v>0.00084829</v>
      </c>
      <c r="AK39" s="15" t="n">
        <v>0.00083981</v>
      </c>
      <c r="AL39" s="15" t="n">
        <v>0.00083141</v>
      </c>
      <c r="AM39" s="15" t="n">
        <v>0.0008231</v>
      </c>
      <c r="AN39" s="15" t="n">
        <v>0.00081486</v>
      </c>
      <c r="AO39" s="15" t="n">
        <v>0.00080672</v>
      </c>
      <c r="AP39" s="15" t="n">
        <v>0.00079865</v>
      </c>
      <c r="AQ39" s="15" t="n">
        <v>0.00079066</v>
      </c>
      <c r="AR39" s="15" t="n">
        <v>0.00078276</v>
      </c>
      <c r="AS39" s="15" t="n">
        <v>0.00077493</v>
      </c>
      <c r="AT39" s="15" t="n">
        <v>0.00076718</v>
      </c>
      <c r="AU39" s="15" t="n">
        <v>0.00075951</v>
      </c>
      <c r="AV39" s="15" t="n">
        <v>0.0007519099999999999</v>
      </c>
      <c r="AW39" s="15" t="n">
        <v>0.00074439</v>
      </c>
      <c r="AX39" s="15" t="n">
        <v>0.00073695</v>
      </c>
      <c r="AY39" s="15" t="n">
        <v>0.00072958</v>
      </c>
      <c r="AZ39" s="15" t="n">
        <v>0.0007222799999999999</v>
      </c>
      <c r="BA39" s="15" t="n">
        <v>0.00071506</v>
      </c>
      <c r="BB39" s="15" t="n">
        <v>0.00070791</v>
      </c>
      <c r="BC39" s="15" t="n">
        <v>0.0007008300000000001</v>
      </c>
      <c r="BD39" s="15" t="n">
        <v>0.00069382</v>
      </c>
      <c r="BE39" s="15" t="n">
        <v>0.00068688</v>
      </c>
      <c r="BF39" s="15" t="n">
        <v>0.00068002</v>
      </c>
      <c r="BG39" s="15" t="n">
        <v>0.00067322</v>
      </c>
      <c r="BH39" s="15" t="n">
        <v>0.00066648</v>
      </c>
      <c r="BI39" s="15" t="n">
        <v>0.00065982</v>
      </c>
      <c r="BJ39" s="15" t="n">
        <v>0.00065322</v>
      </c>
      <c r="BK39" s="15" t="n">
        <v>0.00064669</v>
      </c>
      <c r="BL39" s="15" t="n">
        <v>0.00064022</v>
      </c>
      <c r="BM39" s="15" t="n">
        <v>0.00063382</v>
      </c>
      <c r="BN39" s="15" t="n">
        <v>0.00062748</v>
      </c>
      <c r="BO39" s="15" t="n">
        <v>0.00062121</v>
      </c>
      <c r="BP39" s="15" t="n">
        <v>0.00061499</v>
      </c>
      <c r="BQ39" s="15" t="n">
        <v>0.00060884</v>
      </c>
      <c r="BR39" s="15" t="n">
        <v>0.00060276</v>
      </c>
      <c r="BS39" s="15" t="n">
        <v>0.00059673</v>
      </c>
      <c r="BT39" s="15" t="n">
        <v>0.00059076</v>
      </c>
      <c r="BU39" s="15" t="n">
        <v>0.00058485</v>
      </c>
      <c r="BV39" s="15" t="n">
        <v>0.000579</v>
      </c>
      <c r="BW39" s="15" t="n">
        <v>0.00057321</v>
      </c>
      <c r="BX39" s="15" t="n">
        <v>0.00056748</v>
      </c>
    </row>
    <row r="40">
      <c r="A40" t="n">
        <v>37</v>
      </c>
      <c r="B40" s="15" t="n">
        <v>0.00124166</v>
      </c>
      <c r="C40" s="15" t="n">
        <v>0.00122628</v>
      </c>
      <c r="D40" s="15" t="n">
        <v>0.00121159</v>
      </c>
      <c r="E40" s="15" t="n">
        <v>0.00119756</v>
      </c>
      <c r="F40" s="15" t="n">
        <v>0.00118414</v>
      </c>
      <c r="G40" s="15" t="n">
        <v>0.00117126</v>
      </c>
      <c r="H40" s="15" t="n">
        <v>0.00115886</v>
      </c>
      <c r="I40" s="15" t="n">
        <v>0.00114688</v>
      </c>
      <c r="J40" s="15" t="n">
        <v>0.00113523</v>
      </c>
      <c r="K40" s="15" t="n">
        <v>0.00112383</v>
      </c>
      <c r="L40" s="15" t="n">
        <v>0.00111259</v>
      </c>
      <c r="M40" s="15" t="n">
        <v>0.00110147</v>
      </c>
      <c r="N40" s="15" t="n">
        <v>0.00109045</v>
      </c>
      <c r="O40" s="15" t="n">
        <v>0.00107955</v>
      </c>
      <c r="P40" s="15" t="n">
        <v>0.00106875</v>
      </c>
      <c r="Q40" s="15" t="n">
        <v>0.00105806</v>
      </c>
      <c r="R40" s="15" t="n">
        <v>0.00104748</v>
      </c>
      <c r="S40" s="15" t="n">
        <v>0.00103701</v>
      </c>
      <c r="T40" s="15" t="n">
        <v>0.00102664</v>
      </c>
      <c r="U40" s="15" t="n">
        <v>0.00101637</v>
      </c>
      <c r="V40" s="15" t="n">
        <v>0.00100621</v>
      </c>
      <c r="W40" s="15" t="n">
        <v>0.0009961499999999999</v>
      </c>
      <c r="X40" s="15" t="n">
        <v>0.0009861900000000001</v>
      </c>
      <c r="Y40" s="15" t="n">
        <v>0.00097632</v>
      </c>
      <c r="Z40" s="15" t="n">
        <v>0.00096656</v>
      </c>
      <c r="AA40" s="15" t="n">
        <v>0.00095689</v>
      </c>
      <c r="AB40" s="15" t="n">
        <v>0.00094733</v>
      </c>
      <c r="AC40" s="15" t="n">
        <v>0.0009378499999999999</v>
      </c>
      <c r="AD40" s="15" t="n">
        <v>0.00092847</v>
      </c>
      <c r="AE40" s="15" t="n">
        <v>0.00091919</v>
      </c>
      <c r="AF40" s="15" t="n">
        <v>0.00091</v>
      </c>
      <c r="AG40" s="15" t="n">
        <v>0.0009009000000000001</v>
      </c>
      <c r="AH40" s="15" t="n">
        <v>0.00089189</v>
      </c>
      <c r="AI40" s="15" t="n">
        <v>0.00088297</v>
      </c>
      <c r="AJ40" s="15" t="n">
        <v>0.00087414</v>
      </c>
      <c r="AK40" s="15" t="n">
        <v>0.0008654</v>
      </c>
      <c r="AL40" s="15" t="n">
        <v>0.00085674</v>
      </c>
      <c r="AM40" s="15" t="n">
        <v>0.00084818</v>
      </c>
      <c r="AN40" s="15" t="n">
        <v>0.00083969</v>
      </c>
      <c r="AO40" s="15" t="n">
        <v>0.0008313</v>
      </c>
      <c r="AP40" s="15" t="n">
        <v>0.00082299</v>
      </c>
      <c r="AQ40" s="15" t="n">
        <v>0.00081476</v>
      </c>
      <c r="AR40" s="15" t="n">
        <v>0.00080661</v>
      </c>
      <c r="AS40" s="15" t="n">
        <v>0.00079854</v>
      </c>
      <c r="AT40" s="15" t="n">
        <v>0.00079056</v>
      </c>
      <c r="AU40" s="15" t="n">
        <v>0.00078265</v>
      </c>
      <c r="AV40" s="15" t="n">
        <v>0.00077482</v>
      </c>
      <c r="AW40" s="15" t="n">
        <v>0.00076708</v>
      </c>
      <c r="AX40" s="15" t="n">
        <v>0.00075941</v>
      </c>
      <c r="AY40" s="15" t="n">
        <v>0.00075181</v>
      </c>
      <c r="AZ40" s="15" t="n">
        <v>0.00074429</v>
      </c>
      <c r="BA40" s="15" t="n">
        <v>0.00073685</v>
      </c>
      <c r="BB40" s="15" t="n">
        <v>0.00072948</v>
      </c>
      <c r="BC40" s="15" t="n">
        <v>0.00072219</v>
      </c>
      <c r="BD40" s="15" t="n">
        <v>0.0007149600000000001</v>
      </c>
      <c r="BE40" s="15" t="n">
        <v>0.00070782</v>
      </c>
      <c r="BF40" s="15" t="n">
        <v>0.00070074</v>
      </c>
      <c r="BG40" s="15" t="n">
        <v>0.00069373</v>
      </c>
      <c r="BH40" s="15" t="n">
        <v>0.0006867899999999999</v>
      </c>
      <c r="BI40" s="15" t="n">
        <v>0.00067992</v>
      </c>
      <c r="BJ40" s="15" t="n">
        <v>0.00067313</v>
      </c>
      <c r="BK40" s="15" t="n">
        <v>0.00066639</v>
      </c>
      <c r="BL40" s="15" t="n">
        <v>0.00065973</v>
      </c>
      <c r="BM40" s="15" t="n">
        <v>0.00065313</v>
      </c>
      <c r="BN40" s="15" t="n">
        <v>0.0006466</v>
      </c>
      <c r="BO40" s="15" t="n">
        <v>0.00064014</v>
      </c>
      <c r="BP40" s="15" t="n">
        <v>0.00063373</v>
      </c>
      <c r="BQ40" s="15" t="n">
        <v>0.0006274</v>
      </c>
      <c r="BR40" s="15" t="n">
        <v>0.00062112</v>
      </c>
      <c r="BS40" s="15" t="n">
        <v>0.00061491</v>
      </c>
      <c r="BT40" s="15" t="n">
        <v>0.00060876</v>
      </c>
      <c r="BU40" s="15" t="n">
        <v>0.00060267</v>
      </c>
      <c r="BV40" s="15" t="n">
        <v>0.00059665</v>
      </c>
      <c r="BW40" s="15" t="n">
        <v>0.00059068</v>
      </c>
      <c r="BX40" s="15" t="n">
        <v>0.00058477</v>
      </c>
    </row>
    <row r="41">
      <c r="A41" t="n">
        <v>38</v>
      </c>
      <c r="B41" s="15" t="n">
        <v>0.00128995</v>
      </c>
      <c r="C41" s="15" t="n">
        <v>0.00127413</v>
      </c>
      <c r="D41" s="15" t="n">
        <v>0.00125901</v>
      </c>
      <c r="E41" s="15" t="n">
        <v>0.00124454</v>
      </c>
      <c r="F41" s="15" t="n">
        <v>0.00123067</v>
      </c>
      <c r="G41" s="15" t="n">
        <v>0.00121735</v>
      </c>
      <c r="H41" s="15" t="n">
        <v>0.0012045</v>
      </c>
      <c r="I41" s="15" t="n">
        <v>0.00119207</v>
      </c>
      <c r="J41" s="15" t="n">
        <v>0.00117997</v>
      </c>
      <c r="K41" s="15" t="n">
        <v>0.00116813</v>
      </c>
      <c r="L41" s="15" t="n">
        <v>0.00115645</v>
      </c>
      <c r="M41" s="15" t="n">
        <v>0.00114488</v>
      </c>
      <c r="N41" s="15" t="n">
        <v>0.00113343</v>
      </c>
      <c r="O41" s="15" t="n">
        <v>0.0011221</v>
      </c>
      <c r="P41" s="15" t="n">
        <v>0.00111088</v>
      </c>
      <c r="Q41" s="15" t="n">
        <v>0.00109977</v>
      </c>
      <c r="R41" s="15" t="n">
        <v>0.00108877</v>
      </c>
      <c r="S41" s="15" t="n">
        <v>0.00107788</v>
      </c>
      <c r="T41" s="15" t="n">
        <v>0.00106711</v>
      </c>
      <c r="U41" s="15" t="n">
        <v>0.00105643</v>
      </c>
      <c r="V41" s="15" t="n">
        <v>0.00104587</v>
      </c>
      <c r="W41" s="15" t="n">
        <v>0.00103541</v>
      </c>
      <c r="X41" s="15" t="n">
        <v>0.00102506</v>
      </c>
      <c r="Y41" s="15" t="n">
        <v>0.00101481</v>
      </c>
      <c r="Z41" s="15" t="n">
        <v>0.00100466</v>
      </c>
      <c r="AA41" s="15" t="n">
        <v>0.0009946099999999999</v>
      </c>
      <c r="AB41" s="15" t="n">
        <v>0.00098467</v>
      </c>
      <c r="AC41" s="15" t="n">
        <v>0.00097482</v>
      </c>
      <c r="AD41" s="15" t="n">
        <v>0.0009650699999999999</v>
      </c>
      <c r="AE41" s="15" t="n">
        <v>0.00095542</v>
      </c>
      <c r="AF41" s="15" t="n">
        <v>0.00094587</v>
      </c>
      <c r="AG41" s="15" t="n">
        <v>0.00093641</v>
      </c>
      <c r="AH41" s="15" t="n">
        <v>0.00092704</v>
      </c>
      <c r="AI41" s="15" t="n">
        <v>0.00091777</v>
      </c>
      <c r="AJ41" s="15" t="n">
        <v>0.0009086</v>
      </c>
      <c r="AK41" s="15" t="n">
        <v>0.00089951</v>
      </c>
      <c r="AL41" s="15" t="n">
        <v>0.00089051</v>
      </c>
      <c r="AM41" s="15" t="n">
        <v>0.00088161</v>
      </c>
      <c r="AN41" s="15" t="n">
        <v>0.00087279</v>
      </c>
      <c r="AO41" s="15" t="n">
        <v>0.00086407</v>
      </c>
      <c r="AP41" s="15" t="n">
        <v>0.00085542</v>
      </c>
      <c r="AQ41" s="15" t="n">
        <v>0.00084687</v>
      </c>
      <c r="AR41" s="15" t="n">
        <v>0.0008384</v>
      </c>
      <c r="AS41" s="15" t="n">
        <v>0.00083002</v>
      </c>
      <c r="AT41" s="15" t="n">
        <v>0.00082172</v>
      </c>
      <c r="AU41" s="15" t="n">
        <v>0.0008135</v>
      </c>
      <c r="AV41" s="15" t="n">
        <v>0.00080537</v>
      </c>
      <c r="AW41" s="15" t="n">
        <v>0.00079731</v>
      </c>
      <c r="AX41" s="15" t="n">
        <v>0.00078934</v>
      </c>
      <c r="AY41" s="15" t="n">
        <v>0.00078144</v>
      </c>
      <c r="AZ41" s="15" t="n">
        <v>0.00077363</v>
      </c>
      <c r="BA41" s="15" t="n">
        <v>0.00076589</v>
      </c>
      <c r="BB41" s="15" t="n">
        <v>0.00075824</v>
      </c>
      <c r="BC41" s="15" t="n">
        <v>0.00075065</v>
      </c>
      <c r="BD41" s="15" t="n">
        <v>0.00074315</v>
      </c>
      <c r="BE41" s="15" t="n">
        <v>0.00073571</v>
      </c>
      <c r="BF41" s="15" t="n">
        <v>0.0007283600000000001</v>
      </c>
      <c r="BG41" s="15" t="n">
        <v>0.00072107</v>
      </c>
      <c r="BH41" s="15" t="n">
        <v>0.00071386</v>
      </c>
      <c r="BI41" s="15" t="n">
        <v>0.00070672</v>
      </c>
      <c r="BJ41" s="15" t="n">
        <v>0.00069966</v>
      </c>
      <c r="BK41" s="15" t="n">
        <v>0.00069266</v>
      </c>
      <c r="BL41" s="15" t="n">
        <v>0.00068573</v>
      </c>
      <c r="BM41" s="15" t="n">
        <v>0.00067888</v>
      </c>
      <c r="BN41" s="15" t="n">
        <v>0.00067209</v>
      </c>
      <c r="BO41" s="15" t="n">
        <v>0.00066537</v>
      </c>
      <c r="BP41" s="15" t="n">
        <v>0.00065871</v>
      </c>
      <c r="BQ41" s="15" t="n">
        <v>0.00065213</v>
      </c>
      <c r="BR41" s="15" t="n">
        <v>0.00064561</v>
      </c>
      <c r="BS41" s="15" t="n">
        <v>0.00063915</v>
      </c>
      <c r="BT41" s="15" t="n">
        <v>0.00063276</v>
      </c>
      <c r="BU41" s="15" t="n">
        <v>0.00062643</v>
      </c>
      <c r="BV41" s="15" t="n">
        <v>0.00062017</v>
      </c>
      <c r="BW41" s="15" t="n">
        <v>0.00061396</v>
      </c>
      <c r="BX41" s="15" t="n">
        <v>0.00060782</v>
      </c>
    </row>
    <row r="42">
      <c r="A42" t="n">
        <v>39</v>
      </c>
      <c r="B42" s="15" t="n">
        <v>0.00134898</v>
      </c>
      <c r="C42" s="15" t="n">
        <v>0.00133259</v>
      </c>
      <c r="D42" s="15" t="n">
        <v>0.0013169</v>
      </c>
      <c r="E42" s="15" t="n">
        <v>0.00130185</v>
      </c>
      <c r="F42" s="15" t="n">
        <v>0.00128741</v>
      </c>
      <c r="G42" s="15" t="n">
        <v>0.00127352</v>
      </c>
      <c r="H42" s="15" t="n">
        <v>0.00126012</v>
      </c>
      <c r="I42" s="15" t="n">
        <v>0.00124713</v>
      </c>
      <c r="J42" s="15" t="n">
        <v>0.00123449</v>
      </c>
      <c r="K42" s="15" t="n">
        <v>0.0012221</v>
      </c>
      <c r="L42" s="15" t="n">
        <v>0.00120988</v>
      </c>
      <c r="M42" s="15" t="n">
        <v>0.00119778</v>
      </c>
      <c r="N42" s="15" t="n">
        <v>0.0011858</v>
      </c>
      <c r="O42" s="15" t="n">
        <v>0.00117394</v>
      </c>
      <c r="P42" s="15" t="n">
        <v>0.0011622</v>
      </c>
      <c r="Q42" s="15" t="n">
        <v>0.00115058</v>
      </c>
      <c r="R42" s="15" t="n">
        <v>0.00113907</v>
      </c>
      <c r="S42" s="15" t="n">
        <v>0.00112768</v>
      </c>
      <c r="T42" s="15" t="n">
        <v>0.00111641</v>
      </c>
      <c r="U42" s="15" t="n">
        <v>0.00110524</v>
      </c>
      <c r="V42" s="15" t="n">
        <v>0.00109419</v>
      </c>
      <c r="W42" s="15" t="n">
        <v>0.00108325</v>
      </c>
      <c r="X42" s="15" t="n">
        <v>0.00107242</v>
      </c>
      <c r="Y42" s="15" t="n">
        <v>0.00106169</v>
      </c>
      <c r="Z42" s="15" t="n">
        <v>0.00105107</v>
      </c>
      <c r="AA42" s="15" t="n">
        <v>0.00104056</v>
      </c>
      <c r="AB42" s="15" t="n">
        <v>0.00103016</v>
      </c>
      <c r="AC42" s="15" t="n">
        <v>0.00101986</v>
      </c>
      <c r="AD42" s="15" t="n">
        <v>0.00100966</v>
      </c>
      <c r="AE42" s="15" t="n">
        <v>0.00099956</v>
      </c>
      <c r="AF42" s="15" t="n">
        <v>0.0009895699999999999</v>
      </c>
      <c r="AG42" s="15" t="n">
        <v>0.00097967</v>
      </c>
      <c r="AH42" s="15" t="n">
        <v>0.00096987</v>
      </c>
      <c r="AI42" s="15" t="n">
        <v>0.00096017</v>
      </c>
      <c r="AJ42" s="15" t="n">
        <v>0.00095057</v>
      </c>
      <c r="AK42" s="15" t="n">
        <v>0.00094107</v>
      </c>
      <c r="AL42" s="15" t="n">
        <v>0.00093166</v>
      </c>
      <c r="AM42" s="15" t="n">
        <v>0.00092234</v>
      </c>
      <c r="AN42" s="15" t="n">
        <v>0.00091312</v>
      </c>
      <c r="AO42" s="15" t="n">
        <v>0.00090399</v>
      </c>
      <c r="AP42" s="15" t="n">
        <v>0.00089495</v>
      </c>
      <c r="AQ42" s="15" t="n">
        <v>0.000886</v>
      </c>
      <c r="AR42" s="15" t="n">
        <v>0.00087714</v>
      </c>
      <c r="AS42" s="15" t="n">
        <v>0.00086836</v>
      </c>
      <c r="AT42" s="15" t="n">
        <v>0.00085968</v>
      </c>
      <c r="AU42" s="15" t="n">
        <v>0.00085108</v>
      </c>
      <c r="AV42" s="15" t="n">
        <v>0.00084257</v>
      </c>
      <c r="AW42" s="15" t="n">
        <v>0.00083415</v>
      </c>
      <c r="AX42" s="15" t="n">
        <v>0.00082581</v>
      </c>
      <c r="AY42" s="15" t="n">
        <v>0.00081755</v>
      </c>
      <c r="AZ42" s="15" t="n">
        <v>0.00080937</v>
      </c>
      <c r="BA42" s="15" t="n">
        <v>0.00080128</v>
      </c>
      <c r="BB42" s="15" t="n">
        <v>0.00079327</v>
      </c>
      <c r="BC42" s="15" t="n">
        <v>0.00078533</v>
      </c>
      <c r="BD42" s="15" t="n">
        <v>0.00077748</v>
      </c>
      <c r="BE42" s="15" t="n">
        <v>0.0007697099999999999</v>
      </c>
      <c r="BF42" s="15" t="n">
        <v>0.00076201</v>
      </c>
      <c r="BG42" s="15" t="n">
        <v>0.00075439</v>
      </c>
      <c r="BH42" s="15" t="n">
        <v>0.00074684</v>
      </c>
      <c r="BI42" s="15" t="n">
        <v>0.00073938</v>
      </c>
      <c r="BJ42" s="15" t="n">
        <v>0.00073198</v>
      </c>
      <c r="BK42" s="15" t="n">
        <v>0.00072466</v>
      </c>
      <c r="BL42" s="15" t="n">
        <v>0.00071742</v>
      </c>
      <c r="BM42" s="15" t="n">
        <v>0.00071024</v>
      </c>
      <c r="BN42" s="15" t="n">
        <v>0.00070314</v>
      </c>
      <c r="BO42" s="15" t="n">
        <v>0.00069611</v>
      </c>
      <c r="BP42" s="15" t="n">
        <v>0.00068915</v>
      </c>
      <c r="BQ42" s="15" t="n">
        <v>0.00068226</v>
      </c>
      <c r="BR42" s="15" t="n">
        <v>0.00067543</v>
      </c>
      <c r="BS42" s="15" t="n">
        <v>0.0006686799999999999</v>
      </c>
      <c r="BT42" s="15" t="n">
        <v>0.00066199</v>
      </c>
      <c r="BU42" s="15" t="n">
        <v>0.00065537</v>
      </c>
      <c r="BV42" s="15" t="n">
        <v>0.00064882</v>
      </c>
      <c r="BW42" s="15" t="n">
        <v>0.00064233</v>
      </c>
      <c r="BX42" s="15" t="n">
        <v>0.0006359099999999999</v>
      </c>
    </row>
    <row r="43">
      <c r="A43" t="n">
        <v>40</v>
      </c>
      <c r="B43" s="15" t="n">
        <v>0.00141018</v>
      </c>
      <c r="C43" s="15" t="n">
        <v>0.00139316</v>
      </c>
      <c r="D43" s="15" t="n">
        <v>0.00137684</v>
      </c>
      <c r="E43" s="15" t="n">
        <v>0.00136119</v>
      </c>
      <c r="F43" s="15" t="n">
        <v>0.00134614</v>
      </c>
      <c r="G43" s="15" t="n">
        <v>0.00133166</v>
      </c>
      <c r="H43" s="15" t="n">
        <v>0.00131767</v>
      </c>
      <c r="I43" s="15" t="n">
        <v>0.00130411</v>
      </c>
      <c r="J43" s="15" t="n">
        <v>0.00129089</v>
      </c>
      <c r="K43" s="15" t="n">
        <v>0.00127793</v>
      </c>
      <c r="L43" s="15" t="n">
        <v>0.00126515</v>
      </c>
      <c r="M43" s="15" t="n">
        <v>0.0012525</v>
      </c>
      <c r="N43" s="15" t="n">
        <v>0.00123998</v>
      </c>
      <c r="O43" s="15" t="n">
        <v>0.00122758</v>
      </c>
      <c r="P43" s="15" t="n">
        <v>0.0012153</v>
      </c>
      <c r="Q43" s="15" t="n">
        <v>0.00120315</v>
      </c>
      <c r="R43" s="15" t="n">
        <v>0.00119112</v>
      </c>
      <c r="S43" s="15" t="n">
        <v>0.00117921</v>
      </c>
      <c r="T43" s="15" t="n">
        <v>0.00116741</v>
      </c>
      <c r="U43" s="15" t="n">
        <v>0.00115574</v>
      </c>
      <c r="V43" s="15" t="n">
        <v>0.00114418</v>
      </c>
      <c r="W43" s="15" t="n">
        <v>0.00113274</v>
      </c>
      <c r="X43" s="15" t="n">
        <v>0.00112141</v>
      </c>
      <c r="Y43" s="15" t="n">
        <v>0.0011102</v>
      </c>
      <c r="Z43" s="15" t="n">
        <v>0.0010991</v>
      </c>
      <c r="AA43" s="15" t="n">
        <v>0.00108811</v>
      </c>
      <c r="AB43" s="15" t="n">
        <v>0.00107722</v>
      </c>
      <c r="AC43" s="15" t="n">
        <v>0.00106645</v>
      </c>
      <c r="AD43" s="15" t="n">
        <v>0.00105579</v>
      </c>
      <c r="AE43" s="15" t="n">
        <v>0.00104523</v>
      </c>
      <c r="AF43" s="15" t="n">
        <v>0.00103478</v>
      </c>
      <c r="AG43" s="15" t="n">
        <v>0.00102443</v>
      </c>
      <c r="AH43" s="15" t="n">
        <v>0.00101419</v>
      </c>
      <c r="AI43" s="15" t="n">
        <v>0.00100404</v>
      </c>
      <c r="AJ43" s="15" t="n">
        <v>0.0009940000000000001</v>
      </c>
      <c r="AK43" s="15" t="n">
        <v>0.0009840599999999999</v>
      </c>
      <c r="AL43" s="15" t="n">
        <v>0.00097422</v>
      </c>
      <c r="AM43" s="15" t="n">
        <v>0.00096448</v>
      </c>
      <c r="AN43" s="15" t="n">
        <v>0.00095484</v>
      </c>
      <c r="AO43" s="15" t="n">
        <v>0.00094529</v>
      </c>
      <c r="AP43" s="15" t="n">
        <v>0.00093583</v>
      </c>
      <c r="AQ43" s="15" t="n">
        <v>0.00092648</v>
      </c>
      <c r="AR43" s="15" t="n">
        <v>0.00091721</v>
      </c>
      <c r="AS43" s="15" t="n">
        <v>0.00090804</v>
      </c>
      <c r="AT43" s="15" t="n">
        <v>0.00089896</v>
      </c>
      <c r="AU43" s="15" t="n">
        <v>0.00088997</v>
      </c>
      <c r="AV43" s="15" t="n">
        <v>0.00088107</v>
      </c>
      <c r="AW43" s="15" t="n">
        <v>0.00087226</v>
      </c>
      <c r="AX43" s="15" t="n">
        <v>0.00086354</v>
      </c>
      <c r="AY43" s="15" t="n">
        <v>0.0008549</v>
      </c>
      <c r="AZ43" s="15" t="n">
        <v>0.0008463500000000001</v>
      </c>
      <c r="BA43" s="15" t="n">
        <v>0.00083789</v>
      </c>
      <c r="BB43" s="15" t="n">
        <v>0.00082951</v>
      </c>
      <c r="BC43" s="15" t="n">
        <v>0.00082121</v>
      </c>
      <c r="BD43" s="15" t="n">
        <v>0.000813</v>
      </c>
      <c r="BE43" s="15" t="n">
        <v>0.00080487</v>
      </c>
      <c r="BF43" s="15" t="n">
        <v>0.00079682</v>
      </c>
      <c r="BG43" s="15" t="n">
        <v>0.00078886</v>
      </c>
      <c r="BH43" s="15" t="n">
        <v>0.00078097</v>
      </c>
      <c r="BI43" s="15" t="n">
        <v>0.0007731599999999999</v>
      </c>
      <c r="BJ43" s="15" t="n">
        <v>0.00076543</v>
      </c>
      <c r="BK43" s="15" t="n">
        <v>0.0007577699999999999</v>
      </c>
      <c r="BL43" s="15" t="n">
        <v>0.00075019</v>
      </c>
      <c r="BM43" s="15" t="n">
        <v>0.00074269</v>
      </c>
      <c r="BN43" s="15" t="n">
        <v>0.00073526</v>
      </c>
      <c r="BO43" s="15" t="n">
        <v>0.00072791</v>
      </c>
      <c r="BP43" s="15" t="n">
        <v>0.00072063</v>
      </c>
      <c r="BQ43" s="15" t="n">
        <v>0.00071343</v>
      </c>
      <c r="BR43" s="15" t="n">
        <v>0.00070629</v>
      </c>
      <c r="BS43" s="15" t="n">
        <v>0.00069923</v>
      </c>
      <c r="BT43" s="15" t="n">
        <v>0.00069224</v>
      </c>
      <c r="BU43" s="15" t="n">
        <v>0.00068531</v>
      </c>
      <c r="BV43" s="15" t="n">
        <v>0.00067846</v>
      </c>
      <c r="BW43" s="15" t="n">
        <v>0.00067168</v>
      </c>
      <c r="BX43" s="15" t="n">
        <v>0.00066496</v>
      </c>
    </row>
    <row r="44">
      <c r="A44" t="n">
        <v>41</v>
      </c>
      <c r="B44" s="15" t="n">
        <v>0.00147597</v>
      </c>
      <c r="C44" s="15" t="n">
        <v>0.00145822</v>
      </c>
      <c r="D44" s="15" t="n">
        <v>0.0014412</v>
      </c>
      <c r="E44" s="15" t="n">
        <v>0.00142486</v>
      </c>
      <c r="F44" s="15" t="n">
        <v>0.00140914</v>
      </c>
      <c r="G44" s="15" t="n">
        <v>0.00139401</v>
      </c>
      <c r="H44" s="15" t="n">
        <v>0.00137938</v>
      </c>
      <c r="I44" s="15" t="n">
        <v>0.00136518</v>
      </c>
      <c r="J44" s="15" t="n">
        <v>0.00135135</v>
      </c>
      <c r="K44" s="15" t="n">
        <v>0.00133779</v>
      </c>
      <c r="L44" s="15" t="n">
        <v>0.00132441</v>
      </c>
      <c r="M44" s="15" t="n">
        <v>0.00131117</v>
      </c>
      <c r="N44" s="15" t="n">
        <v>0.00129806</v>
      </c>
      <c r="O44" s="15" t="n">
        <v>0.00128508</v>
      </c>
      <c r="P44" s="15" t="n">
        <v>0.00127223</v>
      </c>
      <c r="Q44" s="15" t="n">
        <v>0.0012595</v>
      </c>
      <c r="R44" s="15" t="n">
        <v>0.00124691</v>
      </c>
      <c r="S44" s="15" t="n">
        <v>0.00123444</v>
      </c>
      <c r="T44" s="15" t="n">
        <v>0.0012221</v>
      </c>
      <c r="U44" s="15" t="n">
        <v>0.00120987</v>
      </c>
      <c r="V44" s="15" t="n">
        <v>0.00119778</v>
      </c>
      <c r="W44" s="15" t="n">
        <v>0.0011858</v>
      </c>
      <c r="X44" s="15" t="n">
        <v>0.00117394</v>
      </c>
      <c r="Y44" s="15" t="n">
        <v>0.0011622</v>
      </c>
      <c r="Z44" s="15" t="n">
        <v>0.00115058</v>
      </c>
      <c r="AA44" s="15" t="n">
        <v>0.00113907</v>
      </c>
      <c r="AB44" s="15" t="n">
        <v>0.00112768</v>
      </c>
      <c r="AC44" s="15" t="n">
        <v>0.00111641</v>
      </c>
      <c r="AD44" s="15" t="n">
        <v>0.00110524</v>
      </c>
      <c r="AE44" s="15" t="n">
        <v>0.00109419</v>
      </c>
      <c r="AF44" s="15" t="n">
        <v>0.00108325</v>
      </c>
      <c r="AG44" s="15" t="n">
        <v>0.00107241</v>
      </c>
      <c r="AH44" s="15" t="n">
        <v>0.00106169</v>
      </c>
      <c r="AI44" s="15" t="n">
        <v>0.00105107</v>
      </c>
      <c r="AJ44" s="15" t="n">
        <v>0.00104056</v>
      </c>
      <c r="AK44" s="15" t="n">
        <v>0.00103016</v>
      </c>
      <c r="AL44" s="15" t="n">
        <v>0.00101986</v>
      </c>
      <c r="AM44" s="15" t="n">
        <v>0.00100966</v>
      </c>
      <c r="AN44" s="15" t="n">
        <v>0.00099956</v>
      </c>
      <c r="AO44" s="15" t="n">
        <v>0.00098956</v>
      </c>
      <c r="AP44" s="15" t="n">
        <v>0.00097967</v>
      </c>
      <c r="AQ44" s="15" t="n">
        <v>0.00096987</v>
      </c>
      <c r="AR44" s="15" t="n">
        <v>0.00096017</v>
      </c>
      <c r="AS44" s="15" t="n">
        <v>0.00095057</v>
      </c>
      <c r="AT44" s="15" t="n">
        <v>0.00094107</v>
      </c>
      <c r="AU44" s="15" t="n">
        <v>0.00093166</v>
      </c>
      <c r="AV44" s="15" t="n">
        <v>0.00092234</v>
      </c>
      <c r="AW44" s="15" t="n">
        <v>0.00091312</v>
      </c>
      <c r="AX44" s="15" t="n">
        <v>0.00090398</v>
      </c>
      <c r="AY44" s="15" t="n">
        <v>0.00089494</v>
      </c>
      <c r="AZ44" s="15" t="n">
        <v>0.000886</v>
      </c>
      <c r="BA44" s="15" t="n">
        <v>0.00087714</v>
      </c>
      <c r="BB44" s="15" t="n">
        <v>0.00086836</v>
      </c>
      <c r="BC44" s="15" t="n">
        <v>0.00085968</v>
      </c>
      <c r="BD44" s="15" t="n">
        <v>0.00085108</v>
      </c>
      <c r="BE44" s="15" t="n">
        <v>0.00084257</v>
      </c>
      <c r="BF44" s="15" t="n">
        <v>0.00083415</v>
      </c>
      <c r="BG44" s="15" t="n">
        <v>0.00082581</v>
      </c>
      <c r="BH44" s="15" t="n">
        <v>0.00081755</v>
      </c>
      <c r="BI44" s="15" t="n">
        <v>0.00080937</v>
      </c>
      <c r="BJ44" s="15" t="n">
        <v>0.00080128</v>
      </c>
      <c r="BK44" s="15" t="n">
        <v>0.00079327</v>
      </c>
      <c r="BL44" s="15" t="n">
        <v>0.00078533</v>
      </c>
      <c r="BM44" s="15" t="n">
        <v>0.00077748</v>
      </c>
      <c r="BN44" s="15" t="n">
        <v>0.0007697</v>
      </c>
      <c r="BO44" s="15" t="n">
        <v>0.00076201</v>
      </c>
      <c r="BP44" s="15" t="n">
        <v>0.00075439</v>
      </c>
      <c r="BQ44" s="15" t="n">
        <v>0.00074684</v>
      </c>
      <c r="BR44" s="15" t="n">
        <v>0.00073938</v>
      </c>
      <c r="BS44" s="15" t="n">
        <v>0.00073198</v>
      </c>
      <c r="BT44" s="15" t="n">
        <v>0.00072466</v>
      </c>
      <c r="BU44" s="15" t="n">
        <v>0.00071741</v>
      </c>
      <c r="BV44" s="15" t="n">
        <v>0.00071024</v>
      </c>
      <c r="BW44" s="15" t="n">
        <v>0.00070314</v>
      </c>
      <c r="BX44" s="15" t="n">
        <v>0.00069611</v>
      </c>
    </row>
    <row r="45">
      <c r="A45" t="n">
        <v>42</v>
      </c>
      <c r="B45" s="15" t="n">
        <v>0.00154255</v>
      </c>
      <c r="C45" s="15" t="n">
        <v>0.00152402</v>
      </c>
      <c r="D45" s="15" t="n">
        <v>0.00150623</v>
      </c>
      <c r="E45" s="15" t="n">
        <v>0.00148916</v>
      </c>
      <c r="F45" s="15" t="n">
        <v>0.00147275</v>
      </c>
      <c r="G45" s="15" t="n">
        <v>0.00145693</v>
      </c>
      <c r="H45" s="15" t="n">
        <v>0.00144165</v>
      </c>
      <c r="I45" s="15" t="n">
        <v>0.00142682</v>
      </c>
      <c r="J45" s="15" t="n">
        <v>0.00141236</v>
      </c>
      <c r="K45" s="15" t="n">
        <v>0.00139819</v>
      </c>
      <c r="L45" s="15" t="n">
        <v>0.00138421</v>
      </c>
      <c r="M45" s="15" t="n">
        <v>0.00137037</v>
      </c>
      <c r="N45" s="15" t="n">
        <v>0.00135666</v>
      </c>
      <c r="O45" s="15" t="n">
        <v>0.00134309</v>
      </c>
      <c r="P45" s="15" t="n">
        <v>0.00132966</v>
      </c>
      <c r="Q45" s="15" t="n">
        <v>0.00131637</v>
      </c>
      <c r="R45" s="15" t="n">
        <v>0.0013032</v>
      </c>
      <c r="S45" s="15" t="n">
        <v>0.00129017</v>
      </c>
      <c r="T45" s="15" t="n">
        <v>0.00127727</v>
      </c>
      <c r="U45" s="15" t="n">
        <v>0.0012645</v>
      </c>
      <c r="V45" s="15" t="n">
        <v>0.00125185</v>
      </c>
      <c r="W45" s="15" t="n">
        <v>0.00123933</v>
      </c>
      <c r="X45" s="15" t="n">
        <v>0.00122694</v>
      </c>
      <c r="Y45" s="15" t="n">
        <v>0.00121467</v>
      </c>
      <c r="Z45" s="15" t="n">
        <v>0.00120252</v>
      </c>
      <c r="AA45" s="15" t="n">
        <v>0.0011905</v>
      </c>
      <c r="AB45" s="15" t="n">
        <v>0.00117859</v>
      </c>
      <c r="AC45" s="15" t="n">
        <v>0.00116681</v>
      </c>
      <c r="AD45" s="15" t="n">
        <v>0.00115514</v>
      </c>
      <c r="AE45" s="15" t="n">
        <v>0.00114359</v>
      </c>
      <c r="AF45" s="15" t="n">
        <v>0.00113215</v>
      </c>
      <c r="AG45" s="15" t="n">
        <v>0.00112083</v>
      </c>
      <c r="AH45" s="15" t="n">
        <v>0.00110962</v>
      </c>
      <c r="AI45" s="15" t="n">
        <v>0.00109853</v>
      </c>
      <c r="AJ45" s="15" t="n">
        <v>0.00108754</v>
      </c>
      <c r="AK45" s="15" t="n">
        <v>0.00107667</v>
      </c>
      <c r="AL45" s="15" t="n">
        <v>0.0010659</v>
      </c>
      <c r="AM45" s="15" t="n">
        <v>0.00105524</v>
      </c>
      <c r="AN45" s="15" t="n">
        <v>0.00104469</v>
      </c>
      <c r="AO45" s="15" t="n">
        <v>0.00103424</v>
      </c>
      <c r="AP45" s="15" t="n">
        <v>0.0010239</v>
      </c>
      <c r="AQ45" s="15" t="n">
        <v>0.00101366</v>
      </c>
      <c r="AR45" s="15" t="n">
        <v>0.00100352</v>
      </c>
      <c r="AS45" s="15" t="n">
        <v>0.0009934900000000001</v>
      </c>
      <c r="AT45" s="15" t="n">
        <v>0.0009835499999999999</v>
      </c>
      <c r="AU45" s="15" t="n">
        <v>0.00097372</v>
      </c>
      <c r="AV45" s="15" t="n">
        <v>0.00096398</v>
      </c>
      <c r="AW45" s="15" t="n">
        <v>0.00095434</v>
      </c>
      <c r="AX45" s="15" t="n">
        <v>0.0009448</v>
      </c>
      <c r="AY45" s="15" t="n">
        <v>0.00093535</v>
      </c>
      <c r="AZ45" s="15" t="n">
        <v>0.000926</v>
      </c>
      <c r="BA45" s="15" t="n">
        <v>0.00091674</v>
      </c>
      <c r="BB45" s="15" t="n">
        <v>0.00090757</v>
      </c>
      <c r="BC45" s="15" t="n">
        <v>0.0008984900000000001</v>
      </c>
      <c r="BD45" s="15" t="n">
        <v>0.00088951</v>
      </c>
      <c r="BE45" s="15" t="n">
        <v>0.00088061</v>
      </c>
      <c r="BF45" s="15" t="n">
        <v>0.00087181</v>
      </c>
      <c r="BG45" s="15" t="n">
        <v>0.00086309</v>
      </c>
      <c r="BH45" s="15" t="n">
        <v>0.00085446</v>
      </c>
      <c r="BI45" s="15" t="n">
        <v>0.00084591</v>
      </c>
      <c r="BJ45" s="15" t="n">
        <v>0.00083745</v>
      </c>
      <c r="BK45" s="15" t="n">
        <v>0.0008290800000000001</v>
      </c>
      <c r="BL45" s="15" t="n">
        <v>0.00082079</v>
      </c>
      <c r="BM45" s="15" t="n">
        <v>0.00081258</v>
      </c>
      <c r="BN45" s="15" t="n">
        <v>0.00080445</v>
      </c>
      <c r="BO45" s="15" t="n">
        <v>0.00079641</v>
      </c>
      <c r="BP45" s="15" t="n">
        <v>0.00078845</v>
      </c>
      <c r="BQ45" s="15" t="n">
        <v>0.00078056</v>
      </c>
      <c r="BR45" s="15" t="n">
        <v>0.00077276</v>
      </c>
      <c r="BS45" s="15" t="n">
        <v>0.00076503</v>
      </c>
      <c r="BT45" s="15" t="n">
        <v>0.00075738</v>
      </c>
      <c r="BU45" s="15" t="n">
        <v>0.0007498</v>
      </c>
      <c r="BV45" s="15" t="n">
        <v>0.00074231</v>
      </c>
      <c r="BW45" s="15" t="n">
        <v>0.00073488</v>
      </c>
      <c r="BX45" s="15" t="n">
        <v>0.00072753</v>
      </c>
    </row>
    <row r="46">
      <c r="A46" t="n">
        <v>43</v>
      </c>
      <c r="B46" s="15" t="n">
        <v>0.00161538</v>
      </c>
      <c r="C46" s="15" t="n">
        <v>0.00159592</v>
      </c>
      <c r="D46" s="15" t="n">
        <v>0.00157726</v>
      </c>
      <c r="E46" s="15" t="n">
        <v>0.00155936</v>
      </c>
      <c r="F46" s="15" t="n">
        <v>0.00154215</v>
      </c>
      <c r="G46" s="15" t="n">
        <v>0.00152557</v>
      </c>
      <c r="H46" s="15" t="n">
        <v>0.00150955</v>
      </c>
      <c r="I46" s="15" t="n">
        <v>0.00149402</v>
      </c>
      <c r="J46" s="15" t="n">
        <v>0.00147888</v>
      </c>
      <c r="K46" s="15" t="n">
        <v>0.00146404</v>
      </c>
      <c r="L46" s="15" t="n">
        <v>0.00144939</v>
      </c>
      <c r="M46" s="15" t="n">
        <v>0.0014349</v>
      </c>
      <c r="N46" s="15" t="n">
        <v>0.00142055</v>
      </c>
      <c r="O46" s="15" t="n">
        <v>0.00140635</v>
      </c>
      <c r="P46" s="15" t="n">
        <v>0.00139228</v>
      </c>
      <c r="Q46" s="15" t="n">
        <v>0.00137836</v>
      </c>
      <c r="R46" s="15" t="n">
        <v>0.00136458</v>
      </c>
      <c r="S46" s="15" t="n">
        <v>0.00135093</v>
      </c>
      <c r="T46" s="15" t="n">
        <v>0.00133742</v>
      </c>
      <c r="U46" s="15" t="n">
        <v>0.00132405</v>
      </c>
      <c r="V46" s="15" t="n">
        <v>0.00131081</v>
      </c>
      <c r="W46" s="15" t="n">
        <v>0.0012977</v>
      </c>
      <c r="X46" s="15" t="n">
        <v>0.00128472</v>
      </c>
      <c r="Y46" s="15" t="n">
        <v>0.00127187</v>
      </c>
      <c r="Z46" s="15" t="n">
        <v>0.00125916</v>
      </c>
      <c r="AA46" s="15" t="n">
        <v>0.00124656</v>
      </c>
      <c r="AB46" s="15" t="n">
        <v>0.0012341</v>
      </c>
      <c r="AC46" s="15" t="n">
        <v>0.00122176</v>
      </c>
      <c r="AD46" s="15" t="n">
        <v>0.00120954</v>
      </c>
      <c r="AE46" s="15" t="n">
        <v>0.00119744</v>
      </c>
      <c r="AF46" s="15" t="n">
        <v>0.00118547</v>
      </c>
      <c r="AG46" s="15" t="n">
        <v>0.00117362</v>
      </c>
      <c r="AH46" s="15" t="n">
        <v>0.00116188</v>
      </c>
      <c r="AI46" s="15" t="n">
        <v>0.00115026</v>
      </c>
      <c r="AJ46" s="15" t="n">
        <v>0.00113876</v>
      </c>
      <c r="AK46" s="15" t="n">
        <v>0.00112737</v>
      </c>
      <c r="AL46" s="15" t="n">
        <v>0.0011161</v>
      </c>
      <c r="AM46" s="15" t="n">
        <v>0.00110494</v>
      </c>
      <c r="AN46" s="15" t="n">
        <v>0.00109389</v>
      </c>
      <c r="AO46" s="15" t="n">
        <v>0.00108295</v>
      </c>
      <c r="AP46" s="15" t="n">
        <v>0.00107212</v>
      </c>
      <c r="AQ46" s="15" t="n">
        <v>0.0010614</v>
      </c>
      <c r="AR46" s="15" t="n">
        <v>0.00105078</v>
      </c>
      <c r="AS46" s="15" t="n">
        <v>0.00104027</v>
      </c>
      <c r="AT46" s="15" t="n">
        <v>0.00102987</v>
      </c>
      <c r="AU46" s="15" t="n">
        <v>0.00101957</v>
      </c>
      <c r="AV46" s="15" t="n">
        <v>0.00100938</v>
      </c>
      <c r="AW46" s="15" t="n">
        <v>0.00099928</v>
      </c>
      <c r="AX46" s="15" t="n">
        <v>0.0009892900000000001</v>
      </c>
      <c r="AY46" s="15" t="n">
        <v>0.0009794000000000001</v>
      </c>
      <c r="AZ46" s="15" t="n">
        <v>0.0009696</v>
      </c>
      <c r="BA46" s="15" t="n">
        <v>0.00095991</v>
      </c>
      <c r="BB46" s="15" t="n">
        <v>0.00095031</v>
      </c>
      <c r="BC46" s="15" t="n">
        <v>0.00094081</v>
      </c>
      <c r="BD46" s="15" t="n">
        <v>0.0009314</v>
      </c>
      <c r="BE46" s="15" t="n">
        <v>0.00092208</v>
      </c>
      <c r="BF46" s="15" t="n">
        <v>0.00091286</v>
      </c>
      <c r="BG46" s="15" t="n">
        <v>0.00090373</v>
      </c>
      <c r="BH46" s="15" t="n">
        <v>0.0008947</v>
      </c>
      <c r="BI46" s="15" t="n">
        <v>0.00088575</v>
      </c>
      <c r="BJ46" s="15" t="n">
        <v>0.00087689</v>
      </c>
      <c r="BK46" s="15" t="n">
        <v>0.00086812</v>
      </c>
      <c r="BL46" s="15" t="n">
        <v>0.0008594400000000001</v>
      </c>
      <c r="BM46" s="15" t="n">
        <v>0.00085085</v>
      </c>
      <c r="BN46" s="15" t="n">
        <v>0.00084234</v>
      </c>
      <c r="BO46" s="15" t="n">
        <v>0.00083392</v>
      </c>
      <c r="BP46" s="15" t="n">
        <v>0.00082558</v>
      </c>
      <c r="BQ46" s="15" t="n">
        <v>0.00081732</v>
      </c>
      <c r="BR46" s="15" t="n">
        <v>0.00080915</v>
      </c>
      <c r="BS46" s="15" t="n">
        <v>0.00080106</v>
      </c>
      <c r="BT46" s="15" t="n">
        <v>0.00079305</v>
      </c>
      <c r="BU46" s="15" t="n">
        <v>0.00078512</v>
      </c>
      <c r="BV46" s="15" t="n">
        <v>0.00077726</v>
      </c>
      <c r="BW46" s="15" t="n">
        <v>0.00076949</v>
      </c>
      <c r="BX46" s="15" t="n">
        <v>0.0007618</v>
      </c>
    </row>
    <row r="47">
      <c r="A47" t="n">
        <v>44</v>
      </c>
      <c r="B47" s="15" t="n">
        <v>0.00167599</v>
      </c>
      <c r="C47" s="15" t="n">
        <v>0.00165571</v>
      </c>
      <c r="D47" s="15" t="n">
        <v>0.00163626</v>
      </c>
      <c r="E47" s="15" t="n">
        <v>0.00161762</v>
      </c>
      <c r="F47" s="15" t="n">
        <v>0.00159972</v>
      </c>
      <c r="G47" s="15" t="n">
        <v>0.00158248</v>
      </c>
      <c r="H47" s="15" t="n">
        <v>0.00156585</v>
      </c>
      <c r="I47" s="15" t="n">
        <v>0.00154972</v>
      </c>
      <c r="J47" s="15" t="n">
        <v>0.00153401</v>
      </c>
      <c r="K47" s="15" t="n">
        <v>0.00151861</v>
      </c>
      <c r="L47" s="15" t="n">
        <v>0.00150343</v>
      </c>
      <c r="M47" s="15" t="n">
        <v>0.00148839</v>
      </c>
      <c r="N47" s="15" t="n">
        <v>0.00147351</v>
      </c>
      <c r="O47" s="15" t="n">
        <v>0.00145877</v>
      </c>
      <c r="P47" s="15" t="n">
        <v>0.00144418</v>
      </c>
      <c r="Q47" s="15" t="n">
        <v>0.00142974</v>
      </c>
      <c r="R47" s="15" t="n">
        <v>0.00141545</v>
      </c>
      <c r="S47" s="15" t="n">
        <v>0.00140129</v>
      </c>
      <c r="T47" s="15" t="n">
        <v>0.00138728</v>
      </c>
      <c r="U47" s="15" t="n">
        <v>0.0013734</v>
      </c>
      <c r="V47" s="15" t="n">
        <v>0.00135967</v>
      </c>
      <c r="W47" s="15" t="n">
        <v>0.00134607</v>
      </c>
      <c r="X47" s="15" t="n">
        <v>0.00133261</v>
      </c>
      <c r="Y47" s="15" t="n">
        <v>0.00131929</v>
      </c>
      <c r="Z47" s="15" t="n">
        <v>0.00130609</v>
      </c>
      <c r="AA47" s="15" t="n">
        <v>0.00129303</v>
      </c>
      <c r="AB47" s="15" t="n">
        <v>0.0012801</v>
      </c>
      <c r="AC47" s="15" t="n">
        <v>0.0012673</v>
      </c>
      <c r="AD47" s="15" t="n">
        <v>0.00125463</v>
      </c>
      <c r="AE47" s="15" t="n">
        <v>0.00124208</v>
      </c>
      <c r="AF47" s="15" t="n">
        <v>0.00122966</v>
      </c>
      <c r="AG47" s="15" t="n">
        <v>0.00121737</v>
      </c>
      <c r="AH47" s="15" t="n">
        <v>0.00120519</v>
      </c>
      <c r="AI47" s="15" t="n">
        <v>0.00119314</v>
      </c>
      <c r="AJ47" s="15" t="n">
        <v>0.00118121</v>
      </c>
      <c r="AK47" s="15" t="n">
        <v>0.0011694</v>
      </c>
      <c r="AL47" s="15" t="n">
        <v>0.0011577</v>
      </c>
      <c r="AM47" s="15" t="n">
        <v>0.00114613</v>
      </c>
      <c r="AN47" s="15" t="n">
        <v>0.00113466</v>
      </c>
      <c r="AO47" s="15" t="n">
        <v>0.00112332</v>
      </c>
      <c r="AP47" s="15" t="n">
        <v>0.00111208</v>
      </c>
      <c r="AQ47" s="15" t="n">
        <v>0.00110096</v>
      </c>
      <c r="AR47" s="15" t="n">
        <v>0.00108995</v>
      </c>
      <c r="AS47" s="15" t="n">
        <v>0.00107905</v>
      </c>
      <c r="AT47" s="15" t="n">
        <v>0.00106826</v>
      </c>
      <c r="AU47" s="15" t="n">
        <v>0.00105758</v>
      </c>
      <c r="AV47" s="15" t="n">
        <v>0.00104701</v>
      </c>
      <c r="AW47" s="15" t="n">
        <v>0.00103654</v>
      </c>
      <c r="AX47" s="15" t="n">
        <v>0.00102617</v>
      </c>
      <c r="AY47" s="15" t="n">
        <v>0.00101591</v>
      </c>
      <c r="AZ47" s="15" t="n">
        <v>0.00100575</v>
      </c>
      <c r="BA47" s="15" t="n">
        <v>0.00099569</v>
      </c>
      <c r="BB47" s="15" t="n">
        <v>0.00098573</v>
      </c>
      <c r="BC47" s="15" t="n">
        <v>0.00097588</v>
      </c>
      <c r="BD47" s="15" t="n">
        <v>0.00096612</v>
      </c>
      <c r="BE47" s="15" t="n">
        <v>0.00095646</v>
      </c>
      <c r="BF47" s="15" t="n">
        <v>0.00094689</v>
      </c>
      <c r="BG47" s="15" t="n">
        <v>0.00093742</v>
      </c>
      <c r="BH47" s="15" t="n">
        <v>0.00092805</v>
      </c>
      <c r="BI47" s="15" t="n">
        <v>0.00091877</v>
      </c>
      <c r="BJ47" s="15" t="n">
        <v>0.00090958</v>
      </c>
      <c r="BK47" s="15" t="n">
        <v>0.00090049</v>
      </c>
      <c r="BL47" s="15" t="n">
        <v>0.0008914800000000001</v>
      </c>
      <c r="BM47" s="15" t="n">
        <v>0.0008825699999999999</v>
      </c>
      <c r="BN47" s="15" t="n">
        <v>0.00087374</v>
      </c>
      <c r="BO47" s="15" t="n">
        <v>0.000865</v>
      </c>
      <c r="BP47" s="15" t="n">
        <v>0.00085635</v>
      </c>
      <c r="BQ47" s="15" t="n">
        <v>0.00084779</v>
      </c>
      <c r="BR47" s="15" t="n">
        <v>0.00083931</v>
      </c>
      <c r="BS47" s="15" t="n">
        <v>0.00083092</v>
      </c>
      <c r="BT47" s="15" t="n">
        <v>0.00082261</v>
      </c>
      <c r="BU47" s="15" t="n">
        <v>0.00081438</v>
      </c>
      <c r="BV47" s="15" t="n">
        <v>0.00080624</v>
      </c>
      <c r="BW47" s="15" t="n">
        <v>0.00079818</v>
      </c>
      <c r="BX47" s="15" t="n">
        <v>0.0007902</v>
      </c>
    </row>
    <row r="48">
      <c r="A48" t="n">
        <v>45</v>
      </c>
      <c r="B48" s="15" t="n">
        <v>0.00173938</v>
      </c>
      <c r="C48" s="15" t="n">
        <v>0.00171817</v>
      </c>
      <c r="D48" s="15" t="n">
        <v>0.00169786</v>
      </c>
      <c r="E48" s="15" t="n">
        <v>0.00167842</v>
      </c>
      <c r="F48" s="15" t="n">
        <v>0.00165976</v>
      </c>
      <c r="G48" s="15" t="n">
        <v>0.00164183</v>
      </c>
      <c r="H48" s="15" t="n">
        <v>0.00162453</v>
      </c>
      <c r="I48" s="15" t="n">
        <v>0.00160778</v>
      </c>
      <c r="J48" s="15" t="n">
        <v>0.00159147</v>
      </c>
      <c r="K48" s="15" t="n">
        <v>0.00157549</v>
      </c>
      <c r="L48" s="15" t="n">
        <v>0.00155974</v>
      </c>
      <c r="M48" s="15" t="n">
        <v>0.00154414</v>
      </c>
      <c r="N48" s="15" t="n">
        <v>0.0015287</v>
      </c>
      <c r="O48" s="15" t="n">
        <v>0.00151341</v>
      </c>
      <c r="P48" s="15" t="n">
        <v>0.00149828</v>
      </c>
      <c r="Q48" s="15" t="n">
        <v>0.0014833</v>
      </c>
      <c r="R48" s="15" t="n">
        <v>0.00146846</v>
      </c>
      <c r="S48" s="15" t="n">
        <v>0.00145378</v>
      </c>
      <c r="T48" s="15" t="n">
        <v>0.00143924</v>
      </c>
      <c r="U48" s="15" t="n">
        <v>0.00142485</v>
      </c>
      <c r="V48" s="15" t="n">
        <v>0.0014106</v>
      </c>
      <c r="W48" s="15" t="n">
        <v>0.00139649</v>
      </c>
      <c r="X48" s="15" t="n">
        <v>0.00138253</v>
      </c>
      <c r="Y48" s="15" t="n">
        <v>0.0013687</v>
      </c>
      <c r="Z48" s="15" t="n">
        <v>0.00135502</v>
      </c>
      <c r="AA48" s="15" t="n">
        <v>0.00134147</v>
      </c>
      <c r="AB48" s="15" t="n">
        <v>0.00132805</v>
      </c>
      <c r="AC48" s="15" t="n">
        <v>0.00131477</v>
      </c>
      <c r="AD48" s="15" t="n">
        <v>0.00130162</v>
      </c>
      <c r="AE48" s="15" t="n">
        <v>0.00128861</v>
      </c>
      <c r="AF48" s="15" t="n">
        <v>0.00127572</v>
      </c>
      <c r="AG48" s="15" t="n">
        <v>0.00126296</v>
      </c>
      <c r="AH48" s="15" t="n">
        <v>0.00125033</v>
      </c>
      <c r="AI48" s="15" t="n">
        <v>0.00123783</v>
      </c>
      <c r="AJ48" s="15" t="n">
        <v>0.00122545</v>
      </c>
      <c r="AK48" s="15" t="n">
        <v>0.0012132</v>
      </c>
      <c r="AL48" s="15" t="n">
        <v>0.00120107</v>
      </c>
      <c r="AM48" s="15" t="n">
        <v>0.00118905</v>
      </c>
      <c r="AN48" s="15" t="n">
        <v>0.00117716</v>
      </c>
      <c r="AO48" s="15" t="n">
        <v>0.00116539</v>
      </c>
      <c r="AP48" s="15" t="n">
        <v>0.00115374</v>
      </c>
      <c r="AQ48" s="15" t="n">
        <v>0.0011422</v>
      </c>
      <c r="AR48" s="15" t="n">
        <v>0.00113078</v>
      </c>
      <c r="AS48" s="15" t="n">
        <v>0.00111947</v>
      </c>
      <c r="AT48" s="15" t="n">
        <v>0.00110828</v>
      </c>
      <c r="AU48" s="15" t="n">
        <v>0.00109719</v>
      </c>
      <c r="AV48" s="15" t="n">
        <v>0.00108622</v>
      </c>
      <c r="AW48" s="15" t="n">
        <v>0.00107536</v>
      </c>
      <c r="AX48" s="15" t="n">
        <v>0.00106461</v>
      </c>
      <c r="AY48" s="15" t="n">
        <v>0.00105396</v>
      </c>
      <c r="AZ48" s="15" t="n">
        <v>0.00104342</v>
      </c>
      <c r="BA48" s="15" t="n">
        <v>0.00103299</v>
      </c>
      <c r="BB48" s="15" t="n">
        <v>0.00102266</v>
      </c>
      <c r="BC48" s="15" t="n">
        <v>0.00101243</v>
      </c>
      <c r="BD48" s="15" t="n">
        <v>0.00100231</v>
      </c>
      <c r="BE48" s="15" t="n">
        <v>0.0009922799999999999</v>
      </c>
      <c r="BF48" s="15" t="n">
        <v>0.00098236</v>
      </c>
      <c r="BG48" s="15" t="n">
        <v>0.00097254</v>
      </c>
      <c r="BH48" s="15" t="n">
        <v>0.00096281</v>
      </c>
      <c r="BI48" s="15" t="n">
        <v>0.00095318</v>
      </c>
      <c r="BJ48" s="15" t="n">
        <v>0.00094365</v>
      </c>
      <c r="BK48" s="15" t="n">
        <v>0.00093421</v>
      </c>
      <c r="BL48" s="15" t="n">
        <v>0.0009248700000000001</v>
      </c>
      <c r="BM48" s="15" t="n">
        <v>0.00091562</v>
      </c>
      <c r="BN48" s="15" t="n">
        <v>0.00090647</v>
      </c>
      <c r="BO48" s="15" t="n">
        <v>0.0008974</v>
      </c>
      <c r="BP48" s="15" t="n">
        <v>0.0008884299999999999</v>
      </c>
      <c r="BQ48" s="15" t="n">
        <v>0.0008795400000000001</v>
      </c>
      <c r="BR48" s="15" t="n">
        <v>0.00087075</v>
      </c>
      <c r="BS48" s="15" t="n">
        <v>0.00086204</v>
      </c>
      <c r="BT48" s="15" t="n">
        <v>0.00085342</v>
      </c>
      <c r="BU48" s="15" t="n">
        <v>0.0008448900000000001</v>
      </c>
      <c r="BV48" s="15" t="n">
        <v>0.00083644</v>
      </c>
      <c r="BW48" s="15" t="n">
        <v>0.00082807</v>
      </c>
      <c r="BX48" s="15" t="n">
        <v>0.00081979</v>
      </c>
    </row>
    <row r="49">
      <c r="A49" t="n">
        <v>46</v>
      </c>
      <c r="B49" s="15" t="n">
        <v>0.00180523</v>
      </c>
      <c r="C49" s="15" t="n">
        <v>0.001783</v>
      </c>
      <c r="D49" s="15" t="n">
        <v>0.00176176</v>
      </c>
      <c r="E49" s="15" t="n">
        <v>0.00174145</v>
      </c>
      <c r="F49" s="15" t="n">
        <v>0.001722</v>
      </c>
      <c r="G49" s="15" t="n">
        <v>0.00170332</v>
      </c>
      <c r="H49" s="15" t="n">
        <v>0.00168532</v>
      </c>
      <c r="I49" s="15" t="n">
        <v>0.00166791</v>
      </c>
      <c r="J49" s="15" t="n">
        <v>0.00165098</v>
      </c>
      <c r="K49" s="15" t="n">
        <v>0.00163441</v>
      </c>
      <c r="L49" s="15" t="n">
        <v>0.00161806</v>
      </c>
      <c r="M49" s="15" t="n">
        <v>0.00160188</v>
      </c>
      <c r="N49" s="15" t="n">
        <v>0.00158586</v>
      </c>
      <c r="O49" s="15" t="n">
        <v>0.00157001</v>
      </c>
      <c r="P49" s="15" t="n">
        <v>0.00155431</v>
      </c>
      <c r="Q49" s="15" t="n">
        <v>0.00153876</v>
      </c>
      <c r="R49" s="15" t="n">
        <v>0.00152337</v>
      </c>
      <c r="S49" s="15" t="n">
        <v>0.00150814</v>
      </c>
      <c r="T49" s="15" t="n">
        <v>0.00149306</v>
      </c>
      <c r="U49" s="15" t="n">
        <v>0.00147813</v>
      </c>
      <c r="V49" s="15" t="n">
        <v>0.00146335</v>
      </c>
      <c r="W49" s="15" t="n">
        <v>0.00144871</v>
      </c>
      <c r="X49" s="15" t="n">
        <v>0.00143423</v>
      </c>
      <c r="Y49" s="15" t="n">
        <v>0.00141988</v>
      </c>
      <c r="Z49" s="15" t="n">
        <v>0.00140569</v>
      </c>
      <c r="AA49" s="15" t="n">
        <v>0.00139163</v>
      </c>
      <c r="AB49" s="15" t="n">
        <v>0.00137771</v>
      </c>
      <c r="AC49" s="15" t="n">
        <v>0.00136394</v>
      </c>
      <c r="AD49" s="15" t="n">
        <v>0.0013503</v>
      </c>
      <c r="AE49" s="15" t="n">
        <v>0.00133679</v>
      </c>
      <c r="AF49" s="15" t="n">
        <v>0.00132343</v>
      </c>
      <c r="AG49" s="15" t="n">
        <v>0.00131019</v>
      </c>
      <c r="AH49" s="15" t="n">
        <v>0.00129709</v>
      </c>
      <c r="AI49" s="15" t="n">
        <v>0.00128412</v>
      </c>
      <c r="AJ49" s="15" t="n">
        <v>0.00127128</v>
      </c>
      <c r="AK49" s="15" t="n">
        <v>0.00125856</v>
      </c>
      <c r="AL49" s="15" t="n">
        <v>0.00124598</v>
      </c>
      <c r="AM49" s="15" t="n">
        <v>0.00123352</v>
      </c>
      <c r="AN49" s="15" t="n">
        <v>0.00122118</v>
      </c>
      <c r="AO49" s="15" t="n">
        <v>0.00120897</v>
      </c>
      <c r="AP49" s="15" t="n">
        <v>0.00119688</v>
      </c>
      <c r="AQ49" s="15" t="n">
        <v>0.00118491</v>
      </c>
      <c r="AR49" s="15" t="n">
        <v>0.00117306</v>
      </c>
      <c r="AS49" s="15" t="n">
        <v>0.00116133</v>
      </c>
      <c r="AT49" s="15" t="n">
        <v>0.00114972</v>
      </c>
      <c r="AU49" s="15" t="n">
        <v>0.00113822</v>
      </c>
      <c r="AV49" s="15" t="n">
        <v>0.00112684</v>
      </c>
      <c r="AW49" s="15" t="n">
        <v>0.00111557</v>
      </c>
      <c r="AX49" s="15" t="n">
        <v>0.00110442</v>
      </c>
      <c r="AY49" s="15" t="n">
        <v>0.00109337</v>
      </c>
      <c r="AZ49" s="15" t="n">
        <v>0.00108244</v>
      </c>
      <c r="BA49" s="15" t="n">
        <v>0.00107161</v>
      </c>
      <c r="BB49" s="15" t="n">
        <v>0.0010609</v>
      </c>
      <c r="BC49" s="15" t="n">
        <v>0.00105029</v>
      </c>
      <c r="BD49" s="15" t="n">
        <v>0.00103979</v>
      </c>
      <c r="BE49" s="15" t="n">
        <v>0.00102939</v>
      </c>
      <c r="BF49" s="15" t="n">
        <v>0.00101909</v>
      </c>
      <c r="BG49" s="15" t="n">
        <v>0.0010089</v>
      </c>
      <c r="BH49" s="15" t="n">
        <v>0.0009988099999999999</v>
      </c>
      <c r="BI49" s="15" t="n">
        <v>0.00098883</v>
      </c>
      <c r="BJ49" s="15" t="n">
        <v>0.00097894</v>
      </c>
      <c r="BK49" s="15" t="n">
        <v>0.00096915</v>
      </c>
      <c r="BL49" s="15" t="n">
        <v>0.00095946</v>
      </c>
      <c r="BM49" s="15" t="n">
        <v>0.00094986</v>
      </c>
      <c r="BN49" s="15" t="n">
        <v>0.00094036</v>
      </c>
      <c r="BO49" s="15" t="n">
        <v>0.00093096</v>
      </c>
      <c r="BP49" s="15" t="n">
        <v>0.00092165</v>
      </c>
      <c r="BQ49" s="15" t="n">
        <v>0.00091243</v>
      </c>
      <c r="BR49" s="15" t="n">
        <v>0.0009033100000000001</v>
      </c>
      <c r="BS49" s="15" t="n">
        <v>0.00089428</v>
      </c>
      <c r="BT49" s="15" t="n">
        <v>0.00088533</v>
      </c>
      <c r="BU49" s="15" t="n">
        <v>0.00087648</v>
      </c>
      <c r="BV49" s="15" t="n">
        <v>0.00086772</v>
      </c>
      <c r="BW49" s="15" t="n">
        <v>0.00085904</v>
      </c>
      <c r="BX49" s="15" t="n">
        <v>0.00085045</v>
      </c>
    </row>
    <row r="50">
      <c r="A50" t="n">
        <v>47</v>
      </c>
      <c r="B50" s="15" t="n">
        <v>0.00190214</v>
      </c>
      <c r="C50" s="15" t="n">
        <v>0.00187847</v>
      </c>
      <c r="D50" s="15" t="n">
        <v>0.00185588</v>
      </c>
      <c r="E50" s="15" t="n">
        <v>0.00183431</v>
      </c>
      <c r="F50" s="15" t="n">
        <v>0.00181369</v>
      </c>
      <c r="G50" s="15" t="n">
        <v>0.00179392</v>
      </c>
      <c r="H50" s="15" t="n">
        <v>0.00177491</v>
      </c>
      <c r="I50" s="15" t="n">
        <v>0.00175654</v>
      </c>
      <c r="J50" s="15" t="n">
        <v>0.0017387</v>
      </c>
      <c r="K50" s="15" t="n">
        <v>0.00172124</v>
      </c>
      <c r="L50" s="15" t="n">
        <v>0.00170402</v>
      </c>
      <c r="M50" s="15" t="n">
        <v>0.00168698</v>
      </c>
      <c r="N50" s="15" t="n">
        <v>0.00167011</v>
      </c>
      <c r="O50" s="15" t="n">
        <v>0.00165341</v>
      </c>
      <c r="P50" s="15" t="n">
        <v>0.00163688</v>
      </c>
      <c r="Q50" s="15" t="n">
        <v>0.00162051</v>
      </c>
      <c r="R50" s="15" t="n">
        <v>0.0016043</v>
      </c>
      <c r="S50" s="15" t="n">
        <v>0.00158826</v>
      </c>
      <c r="T50" s="15" t="n">
        <v>0.00157238</v>
      </c>
      <c r="U50" s="15" t="n">
        <v>0.00155665</v>
      </c>
      <c r="V50" s="15" t="n">
        <v>0.00154109</v>
      </c>
      <c r="W50" s="15" t="n">
        <v>0.00152568</v>
      </c>
      <c r="X50" s="15" t="n">
        <v>0.00151042</v>
      </c>
      <c r="Y50" s="15" t="n">
        <v>0.00149532</v>
      </c>
      <c r="Z50" s="15" t="n">
        <v>0.00148036</v>
      </c>
      <c r="AA50" s="15" t="n">
        <v>0.00146556</v>
      </c>
      <c r="AB50" s="15" t="n">
        <v>0.0014509</v>
      </c>
      <c r="AC50" s="15" t="n">
        <v>0.00143639</v>
      </c>
      <c r="AD50" s="15" t="n">
        <v>0.00142203</v>
      </c>
      <c r="AE50" s="15" t="n">
        <v>0.00140781</v>
      </c>
      <c r="AF50" s="15" t="n">
        <v>0.00139373</v>
      </c>
      <c r="AG50" s="15" t="n">
        <v>0.00137979</v>
      </c>
      <c r="AH50" s="15" t="n">
        <v>0.001366</v>
      </c>
      <c r="AI50" s="15" t="n">
        <v>0.00135234</v>
      </c>
      <c r="AJ50" s="15" t="n">
        <v>0.00133881</v>
      </c>
      <c r="AK50" s="15" t="n">
        <v>0.00132543</v>
      </c>
      <c r="AL50" s="15" t="n">
        <v>0.00131217</v>
      </c>
      <c r="AM50" s="15" t="n">
        <v>0.00129905</v>
      </c>
      <c r="AN50" s="15" t="n">
        <v>0.00128606</v>
      </c>
      <c r="AO50" s="15" t="n">
        <v>0.0012732</v>
      </c>
      <c r="AP50" s="15" t="n">
        <v>0.00126047</v>
      </c>
      <c r="AQ50" s="15" t="n">
        <v>0.00124786</v>
      </c>
      <c r="AR50" s="15" t="n">
        <v>0.00123538</v>
      </c>
      <c r="AS50" s="15" t="n">
        <v>0.00122303</v>
      </c>
      <c r="AT50" s="15" t="n">
        <v>0.0012108</v>
      </c>
      <c r="AU50" s="15" t="n">
        <v>0.00119869</v>
      </c>
      <c r="AV50" s="15" t="n">
        <v>0.0011867</v>
      </c>
      <c r="AW50" s="15" t="n">
        <v>0.00117484</v>
      </c>
      <c r="AX50" s="15" t="n">
        <v>0.00116309</v>
      </c>
      <c r="AY50" s="15" t="n">
        <v>0.00115146</v>
      </c>
      <c r="AZ50" s="15" t="n">
        <v>0.00113994</v>
      </c>
      <c r="BA50" s="15" t="n">
        <v>0.00112854</v>
      </c>
      <c r="BB50" s="15" t="n">
        <v>0.00111726</v>
      </c>
      <c r="BC50" s="15" t="n">
        <v>0.00110609</v>
      </c>
      <c r="BD50" s="15" t="n">
        <v>0.00109502</v>
      </c>
      <c r="BE50" s="15" t="n">
        <v>0.00108407</v>
      </c>
      <c r="BF50" s="15" t="n">
        <v>0.00107323</v>
      </c>
      <c r="BG50" s="15" t="n">
        <v>0.0010625</v>
      </c>
      <c r="BH50" s="15" t="n">
        <v>0.00105188</v>
      </c>
      <c r="BI50" s="15" t="n">
        <v>0.00104136</v>
      </c>
      <c r="BJ50" s="15" t="n">
        <v>0.00103094</v>
      </c>
      <c r="BK50" s="15" t="n">
        <v>0.00102063</v>
      </c>
      <c r="BL50" s="15" t="n">
        <v>0.00101043</v>
      </c>
      <c r="BM50" s="15" t="n">
        <v>0.00100032</v>
      </c>
      <c r="BN50" s="15" t="n">
        <v>0.00099032</v>
      </c>
      <c r="BO50" s="15" t="n">
        <v>0.0009804200000000001</v>
      </c>
      <c r="BP50" s="15" t="n">
        <v>0.00097061</v>
      </c>
      <c r="BQ50" s="15" t="n">
        <v>0.00096091</v>
      </c>
      <c r="BR50" s="15" t="n">
        <v>0.0009513</v>
      </c>
      <c r="BS50" s="15" t="n">
        <v>0.00094179</v>
      </c>
      <c r="BT50" s="15" t="n">
        <v>0.00093237</v>
      </c>
      <c r="BU50" s="15" t="n">
        <v>0.00092304</v>
      </c>
      <c r="BV50" s="15" t="n">
        <v>0.00091381</v>
      </c>
      <c r="BW50" s="15" t="n">
        <v>0.00090468</v>
      </c>
      <c r="BX50" s="15" t="n">
        <v>0.00089563</v>
      </c>
    </row>
    <row r="51">
      <c r="A51" t="n">
        <v>48</v>
      </c>
      <c r="B51" s="15" t="n">
        <v>0.00201962</v>
      </c>
      <c r="C51" s="15" t="n">
        <v>0.00199416</v>
      </c>
      <c r="D51" s="15" t="n">
        <v>0.00196992</v>
      </c>
      <c r="E51" s="15" t="n">
        <v>0.00194682</v>
      </c>
      <c r="F51" s="15" t="n">
        <v>0.00192477</v>
      </c>
      <c r="G51" s="15" t="n">
        <v>0.00190369</v>
      </c>
      <c r="H51" s="15" t="n">
        <v>0.00188344</v>
      </c>
      <c r="I51" s="15" t="n">
        <v>0.0018639</v>
      </c>
      <c r="J51" s="15" t="n">
        <v>0.00184494</v>
      </c>
      <c r="K51" s="15" t="n">
        <v>0.00182641</v>
      </c>
      <c r="L51" s="15" t="n">
        <v>0.00180815</v>
      </c>
      <c r="M51" s="15" t="n">
        <v>0.00179007</v>
      </c>
      <c r="N51" s="15" t="n">
        <v>0.00177217</v>
      </c>
      <c r="O51" s="15" t="n">
        <v>0.00175444</v>
      </c>
      <c r="P51" s="15" t="n">
        <v>0.0017369</v>
      </c>
      <c r="Q51" s="15" t="n">
        <v>0.00171953</v>
      </c>
      <c r="R51" s="15" t="n">
        <v>0.00170234</v>
      </c>
      <c r="S51" s="15" t="n">
        <v>0.00168531</v>
      </c>
      <c r="T51" s="15" t="n">
        <v>0.00166846</v>
      </c>
      <c r="U51" s="15" t="n">
        <v>0.00165177</v>
      </c>
      <c r="V51" s="15" t="n">
        <v>0.00163526</v>
      </c>
      <c r="W51" s="15" t="n">
        <v>0.0016189</v>
      </c>
      <c r="X51" s="15" t="n">
        <v>0.00160272</v>
      </c>
      <c r="Y51" s="15" t="n">
        <v>0.00158669</v>
      </c>
      <c r="Z51" s="15" t="n">
        <v>0.00157082</v>
      </c>
      <c r="AA51" s="15" t="n">
        <v>0.00155511</v>
      </c>
      <c r="AB51" s="15" t="n">
        <v>0.00153956</v>
      </c>
      <c r="AC51" s="15" t="n">
        <v>0.00152417</v>
      </c>
      <c r="AD51" s="15" t="n">
        <v>0.00150892</v>
      </c>
      <c r="AE51" s="15" t="n">
        <v>0.00149384</v>
      </c>
      <c r="AF51" s="15" t="n">
        <v>0.0014789</v>
      </c>
      <c r="AG51" s="15" t="n">
        <v>0.00146411</v>
      </c>
      <c r="AH51" s="15" t="n">
        <v>0.00144947</v>
      </c>
      <c r="AI51" s="15" t="n">
        <v>0.00143497</v>
      </c>
      <c r="AJ51" s="15" t="n">
        <v>0.00142062</v>
      </c>
      <c r="AK51" s="15" t="n">
        <v>0.00140642</v>
      </c>
      <c r="AL51" s="15" t="n">
        <v>0.00139235</v>
      </c>
      <c r="AM51" s="15" t="n">
        <v>0.00137843</v>
      </c>
      <c r="AN51" s="15" t="n">
        <v>0.00136464</v>
      </c>
      <c r="AO51" s="15" t="n">
        <v>0.001351</v>
      </c>
      <c r="AP51" s="15" t="n">
        <v>0.00133749</v>
      </c>
      <c r="AQ51" s="15" t="n">
        <v>0.00132411</v>
      </c>
      <c r="AR51" s="15" t="n">
        <v>0.00131087</v>
      </c>
      <c r="AS51" s="15" t="n">
        <v>0.00129776</v>
      </c>
      <c r="AT51" s="15" t="n">
        <v>0.00128479</v>
      </c>
      <c r="AU51" s="15" t="n">
        <v>0.00127194</v>
      </c>
      <c r="AV51" s="15" t="n">
        <v>0.00125922</v>
      </c>
      <c r="AW51" s="15" t="n">
        <v>0.00124663</v>
      </c>
      <c r="AX51" s="15" t="n">
        <v>0.00123416</v>
      </c>
      <c r="AY51" s="15" t="n">
        <v>0.00122182</v>
      </c>
      <c r="AZ51" s="15" t="n">
        <v>0.0012096</v>
      </c>
      <c r="BA51" s="15" t="n">
        <v>0.0011975</v>
      </c>
      <c r="BB51" s="15" t="n">
        <v>0.00118553</v>
      </c>
      <c r="BC51" s="15" t="n">
        <v>0.00117367</v>
      </c>
      <c r="BD51" s="15" t="n">
        <v>0.00116194</v>
      </c>
      <c r="BE51" s="15" t="n">
        <v>0.00115032</v>
      </c>
      <c r="BF51" s="15" t="n">
        <v>0.00113881</v>
      </c>
      <c r="BG51" s="15" t="n">
        <v>0.00112743</v>
      </c>
      <c r="BH51" s="15" t="n">
        <v>0.00111615</v>
      </c>
      <c r="BI51" s="15" t="n">
        <v>0.00110499</v>
      </c>
      <c r="BJ51" s="15" t="n">
        <v>0.00109394</v>
      </c>
      <c r="BK51" s="15" t="n">
        <v>0.001083</v>
      </c>
      <c r="BL51" s="15" t="n">
        <v>0.00107217</v>
      </c>
      <c r="BM51" s="15" t="n">
        <v>0.00106145</v>
      </c>
      <c r="BN51" s="15" t="n">
        <v>0.00105083</v>
      </c>
      <c r="BO51" s="15" t="n">
        <v>0.00104033</v>
      </c>
      <c r="BP51" s="15" t="n">
        <v>0.00102992</v>
      </c>
      <c r="BQ51" s="15" t="n">
        <v>0.00101962</v>
      </c>
      <c r="BR51" s="15" t="n">
        <v>0.00100943</v>
      </c>
      <c r="BS51" s="15" t="n">
        <v>0.0009993300000000001</v>
      </c>
      <c r="BT51" s="15" t="n">
        <v>0.00098934</v>
      </c>
      <c r="BU51" s="15" t="n">
        <v>0.00097945</v>
      </c>
      <c r="BV51" s="15" t="n">
        <v>0.00096965</v>
      </c>
      <c r="BW51" s="15" t="n">
        <v>0.00095996</v>
      </c>
      <c r="BX51" s="15" t="n">
        <v>0.00095036</v>
      </c>
    </row>
    <row r="52">
      <c r="A52" t="n">
        <v>49</v>
      </c>
      <c r="B52" s="15" t="n">
        <v>0.00216378</v>
      </c>
      <c r="C52" s="15" t="n">
        <v>0.0021361</v>
      </c>
      <c r="D52" s="15" t="n">
        <v>0.00210981</v>
      </c>
      <c r="E52" s="15" t="n">
        <v>0.00208481</v>
      </c>
      <c r="F52" s="15" t="n">
        <v>0.00206101</v>
      </c>
      <c r="G52" s="15" t="n">
        <v>0.00203829</v>
      </c>
      <c r="H52" s="15" t="n">
        <v>0.00201652</v>
      </c>
      <c r="I52" s="15" t="n">
        <v>0.00199555</v>
      </c>
      <c r="J52" s="15" t="n">
        <v>0.00197523</v>
      </c>
      <c r="K52" s="15" t="n">
        <v>0.00195538</v>
      </c>
      <c r="L52" s="15" t="n">
        <v>0.00193583</v>
      </c>
      <c r="M52" s="15" t="n">
        <v>0.00191647</v>
      </c>
      <c r="N52" s="15" t="n">
        <v>0.00189731</v>
      </c>
      <c r="O52" s="15" t="n">
        <v>0.00187833</v>
      </c>
      <c r="P52" s="15" t="n">
        <v>0.00185955</v>
      </c>
      <c r="Q52" s="15" t="n">
        <v>0.00184095</v>
      </c>
      <c r="R52" s="15" t="n">
        <v>0.00182254</v>
      </c>
      <c r="S52" s="15" t="n">
        <v>0.00180432</v>
      </c>
      <c r="T52" s="15" t="n">
        <v>0.00178628</v>
      </c>
      <c r="U52" s="15" t="n">
        <v>0.00176841</v>
      </c>
      <c r="V52" s="15" t="n">
        <v>0.00175073</v>
      </c>
      <c r="W52" s="15" t="n">
        <v>0.00173322</v>
      </c>
      <c r="X52" s="15" t="n">
        <v>0.00171589</v>
      </c>
      <c r="Y52" s="15" t="n">
        <v>0.00169873</v>
      </c>
      <c r="Z52" s="15" t="n">
        <v>0.00168174</v>
      </c>
      <c r="AA52" s="15" t="n">
        <v>0.00166493</v>
      </c>
      <c r="AB52" s="15" t="n">
        <v>0.00164828</v>
      </c>
      <c r="AC52" s="15" t="n">
        <v>0.00163179</v>
      </c>
      <c r="AD52" s="15" t="n">
        <v>0.00161548</v>
      </c>
      <c r="AE52" s="15" t="n">
        <v>0.00159932</v>
      </c>
      <c r="AF52" s="15" t="n">
        <v>0.00158333</v>
      </c>
      <c r="AG52" s="15" t="n">
        <v>0.00156749</v>
      </c>
      <c r="AH52" s="15" t="n">
        <v>0.00155182</v>
      </c>
      <c r="AI52" s="15" t="n">
        <v>0.0015363</v>
      </c>
      <c r="AJ52" s="15" t="n">
        <v>0.00152094</v>
      </c>
      <c r="AK52" s="15" t="n">
        <v>0.00150573</v>
      </c>
      <c r="AL52" s="15" t="n">
        <v>0.00149067</v>
      </c>
      <c r="AM52" s="15" t="n">
        <v>0.00147576</v>
      </c>
      <c r="AN52" s="15" t="n">
        <v>0.00146101</v>
      </c>
      <c r="AO52" s="15" t="n">
        <v>0.0014464</v>
      </c>
      <c r="AP52" s="15" t="n">
        <v>0.00143193</v>
      </c>
      <c r="AQ52" s="15" t="n">
        <v>0.00141761</v>
      </c>
      <c r="AR52" s="15" t="n">
        <v>0.00140344</v>
      </c>
      <c r="AS52" s="15" t="n">
        <v>0.0013894</v>
      </c>
      <c r="AT52" s="15" t="n">
        <v>0.00137551</v>
      </c>
      <c r="AU52" s="15" t="n">
        <v>0.00136175</v>
      </c>
      <c r="AV52" s="15" t="n">
        <v>0.00134814</v>
      </c>
      <c r="AW52" s="15" t="n">
        <v>0.00133466</v>
      </c>
      <c r="AX52" s="15" t="n">
        <v>0.00132131</v>
      </c>
      <c r="AY52" s="15" t="n">
        <v>0.0013081</v>
      </c>
      <c r="AZ52" s="15" t="n">
        <v>0.00129501</v>
      </c>
      <c r="BA52" s="15" t="n">
        <v>0.00128206</v>
      </c>
      <c r="BB52" s="15" t="n">
        <v>0.00126924</v>
      </c>
      <c r="BC52" s="15" t="n">
        <v>0.00125655</v>
      </c>
      <c r="BD52" s="15" t="n">
        <v>0.00124399</v>
      </c>
      <c r="BE52" s="15" t="n">
        <v>0.00123155</v>
      </c>
      <c r="BF52" s="15" t="n">
        <v>0.00121923</v>
      </c>
      <c r="BG52" s="15" t="n">
        <v>0.00120704</v>
      </c>
      <c r="BH52" s="15" t="n">
        <v>0.00119497</v>
      </c>
      <c r="BI52" s="15" t="n">
        <v>0.00118302</v>
      </c>
      <c r="BJ52" s="15" t="n">
        <v>0.00117119</v>
      </c>
      <c r="BK52" s="15" t="n">
        <v>0.00115948</v>
      </c>
      <c r="BL52" s="15" t="n">
        <v>0.00114788</v>
      </c>
      <c r="BM52" s="15" t="n">
        <v>0.0011364</v>
      </c>
      <c r="BN52" s="15" t="n">
        <v>0.00112504</v>
      </c>
      <c r="BO52" s="15" t="n">
        <v>0.00111379</v>
      </c>
      <c r="BP52" s="15" t="n">
        <v>0.00110265</v>
      </c>
      <c r="BQ52" s="15" t="n">
        <v>0.00109162</v>
      </c>
      <c r="BR52" s="15" t="n">
        <v>0.00108071</v>
      </c>
      <c r="BS52" s="15" t="n">
        <v>0.0010699</v>
      </c>
      <c r="BT52" s="15" t="n">
        <v>0.0010592</v>
      </c>
      <c r="BU52" s="15" t="n">
        <v>0.00104861</v>
      </c>
      <c r="BV52" s="15" t="n">
        <v>0.00103812</v>
      </c>
      <c r="BW52" s="15" t="n">
        <v>0.00102774</v>
      </c>
      <c r="BX52" s="15" t="n">
        <v>0.00101746</v>
      </c>
    </row>
    <row r="53">
      <c r="A53" t="n">
        <v>50</v>
      </c>
      <c r="B53" s="15" t="n">
        <v>0.00231521</v>
      </c>
      <c r="C53" s="15" t="n">
        <v>0.00228512</v>
      </c>
      <c r="D53" s="15" t="n">
        <v>0.0022566</v>
      </c>
      <c r="E53" s="15" t="n">
        <v>0.00222956</v>
      </c>
      <c r="F53" s="15" t="n">
        <v>0.00220387</v>
      </c>
      <c r="G53" s="15" t="n">
        <v>0.0021794</v>
      </c>
      <c r="H53" s="15" t="n">
        <v>0.00215601</v>
      </c>
      <c r="I53" s="15" t="n">
        <v>0.00213353</v>
      </c>
      <c r="J53" s="15" t="n">
        <v>0.00211177</v>
      </c>
      <c r="K53" s="15" t="n">
        <v>0.00209055</v>
      </c>
      <c r="L53" s="15" t="n">
        <v>0.00206964</v>
      </c>
      <c r="M53" s="15" t="n">
        <v>0.00204895</v>
      </c>
      <c r="N53" s="15" t="n">
        <v>0.00202846</v>
      </c>
      <c r="O53" s="15" t="n">
        <v>0.00200817</v>
      </c>
      <c r="P53" s="15" t="n">
        <v>0.00198809</v>
      </c>
      <c r="Q53" s="15" t="n">
        <v>0.00196821</v>
      </c>
      <c r="R53" s="15" t="n">
        <v>0.00194853</v>
      </c>
      <c r="S53" s="15" t="n">
        <v>0.00192904</v>
      </c>
      <c r="T53" s="15" t="n">
        <v>0.00190975</v>
      </c>
      <c r="U53" s="15" t="n">
        <v>0.00189065</v>
      </c>
      <c r="V53" s="15" t="n">
        <v>0.00187175</v>
      </c>
      <c r="W53" s="15" t="n">
        <v>0.00185303</v>
      </c>
      <c r="X53" s="15" t="n">
        <v>0.0018345</v>
      </c>
      <c r="Y53" s="15" t="n">
        <v>0.00181616</v>
      </c>
      <c r="Z53" s="15" t="n">
        <v>0.00179799</v>
      </c>
      <c r="AA53" s="15" t="n">
        <v>0.00178001</v>
      </c>
      <c r="AB53" s="15" t="n">
        <v>0.00176221</v>
      </c>
      <c r="AC53" s="15" t="n">
        <v>0.00174459</v>
      </c>
      <c r="AD53" s="15" t="n">
        <v>0.00172715</v>
      </c>
      <c r="AE53" s="15" t="n">
        <v>0.00170987</v>
      </c>
      <c r="AF53" s="15" t="n">
        <v>0.00169278</v>
      </c>
      <c r="AG53" s="15" t="n">
        <v>0.00167585</v>
      </c>
      <c r="AH53" s="15" t="n">
        <v>0.00165909</v>
      </c>
      <c r="AI53" s="15" t="n">
        <v>0.0016425</v>
      </c>
      <c r="AJ53" s="15" t="n">
        <v>0.00162607</v>
      </c>
      <c r="AK53" s="15" t="n">
        <v>0.00160981</v>
      </c>
      <c r="AL53" s="15" t="n">
        <v>0.00159371</v>
      </c>
      <c r="AM53" s="15" t="n">
        <v>0.00157778</v>
      </c>
      <c r="AN53" s="15" t="n">
        <v>0.001562</v>
      </c>
      <c r="AO53" s="15" t="n">
        <v>0.00154638</v>
      </c>
      <c r="AP53" s="15" t="n">
        <v>0.00153092</v>
      </c>
      <c r="AQ53" s="15" t="n">
        <v>0.00151561</v>
      </c>
      <c r="AR53" s="15" t="n">
        <v>0.00150045</v>
      </c>
      <c r="AS53" s="15" t="n">
        <v>0.00148545</v>
      </c>
      <c r="AT53" s="15" t="n">
        <v>0.00147059</v>
      </c>
      <c r="AU53" s="15" t="n">
        <v>0.00145589</v>
      </c>
      <c r="AV53" s="15" t="n">
        <v>0.00144133</v>
      </c>
      <c r="AW53" s="15" t="n">
        <v>0.00142691</v>
      </c>
      <c r="AX53" s="15" t="n">
        <v>0.00141264</v>
      </c>
      <c r="AY53" s="15" t="n">
        <v>0.00139852</v>
      </c>
      <c r="AZ53" s="15" t="n">
        <v>0.00138453</v>
      </c>
      <c r="BA53" s="15" t="n">
        <v>0.00137069</v>
      </c>
      <c r="BB53" s="15" t="n">
        <v>0.00135698</v>
      </c>
      <c r="BC53" s="15" t="n">
        <v>0.00134341</v>
      </c>
      <c r="BD53" s="15" t="n">
        <v>0.00132998</v>
      </c>
      <c r="BE53" s="15" t="n">
        <v>0.00131668</v>
      </c>
      <c r="BF53" s="15" t="n">
        <v>0.00130351</v>
      </c>
      <c r="BG53" s="15" t="n">
        <v>0.00129047</v>
      </c>
      <c r="BH53" s="15" t="n">
        <v>0.00127757</v>
      </c>
      <c r="BI53" s="15" t="n">
        <v>0.00126479</v>
      </c>
      <c r="BJ53" s="15" t="n">
        <v>0.00125215</v>
      </c>
      <c r="BK53" s="15" t="n">
        <v>0.00123963</v>
      </c>
      <c r="BL53" s="15" t="n">
        <v>0.00122723</v>
      </c>
      <c r="BM53" s="15" t="n">
        <v>0.00121496</v>
      </c>
      <c r="BN53" s="15" t="n">
        <v>0.00120281</v>
      </c>
      <c r="BO53" s="15" t="n">
        <v>0.00119078</v>
      </c>
      <c r="BP53" s="15" t="n">
        <v>0.00117887</v>
      </c>
      <c r="BQ53" s="15" t="n">
        <v>0.00116708</v>
      </c>
      <c r="BR53" s="15" t="n">
        <v>0.00115541</v>
      </c>
      <c r="BS53" s="15" t="n">
        <v>0.00114386</v>
      </c>
      <c r="BT53" s="15" t="n">
        <v>0.00113242</v>
      </c>
      <c r="BU53" s="15" t="n">
        <v>0.00112109</v>
      </c>
      <c r="BV53" s="15" t="n">
        <v>0.00110988</v>
      </c>
      <c r="BW53" s="15" t="n">
        <v>0.00109878</v>
      </c>
      <c r="BX53" s="15" t="n">
        <v>0.0010878</v>
      </c>
    </row>
    <row r="54">
      <c r="A54" t="n">
        <v>51</v>
      </c>
      <c r="B54" s="15" t="n">
        <v>0.00246344</v>
      </c>
      <c r="C54" s="15" t="n">
        <v>0.00243085</v>
      </c>
      <c r="D54" s="15" t="n">
        <v>0.00240005</v>
      </c>
      <c r="E54" s="15" t="n">
        <v>0.00237092</v>
      </c>
      <c r="F54" s="15" t="n">
        <v>0.00234332</v>
      </c>
      <c r="G54" s="15" t="n">
        <v>0.00231711</v>
      </c>
      <c r="H54" s="15" t="n">
        <v>0.00229211</v>
      </c>
      <c r="I54" s="15" t="n">
        <v>0.00226814</v>
      </c>
      <c r="J54" s="15" t="n">
        <v>0.00224497</v>
      </c>
      <c r="K54" s="15" t="n">
        <v>0.0022224</v>
      </c>
      <c r="L54" s="15" t="n">
        <v>0.00220018</v>
      </c>
      <c r="M54" s="15" t="n">
        <v>0.00217817</v>
      </c>
      <c r="N54" s="15" t="n">
        <v>0.00215639</v>
      </c>
      <c r="O54" s="15" t="n">
        <v>0.00213483</v>
      </c>
      <c r="P54" s="15" t="n">
        <v>0.00211348</v>
      </c>
      <c r="Q54" s="15" t="n">
        <v>0.00209235</v>
      </c>
      <c r="R54" s="15" t="n">
        <v>0.00207142</v>
      </c>
      <c r="S54" s="15" t="n">
        <v>0.00205071</v>
      </c>
      <c r="T54" s="15" t="n">
        <v>0.0020302</v>
      </c>
      <c r="U54" s="15" t="n">
        <v>0.0020099</v>
      </c>
      <c r="V54" s="15" t="n">
        <v>0.0019898</v>
      </c>
      <c r="W54" s="15" t="n">
        <v>0.0019699</v>
      </c>
      <c r="X54" s="15" t="n">
        <v>0.0019502</v>
      </c>
      <c r="Y54" s="15" t="n">
        <v>0.0019307</v>
      </c>
      <c r="Z54" s="15" t="n">
        <v>0.00191139</v>
      </c>
      <c r="AA54" s="15" t="n">
        <v>0.00189228</v>
      </c>
      <c r="AB54" s="15" t="n">
        <v>0.00187336</v>
      </c>
      <c r="AC54" s="15" t="n">
        <v>0.00185462</v>
      </c>
      <c r="AD54" s="15" t="n">
        <v>0.00183608</v>
      </c>
      <c r="AE54" s="15" t="n">
        <v>0.00181772</v>
      </c>
      <c r="AF54" s="15" t="n">
        <v>0.00179954</v>
      </c>
      <c r="AG54" s="15" t="n">
        <v>0.00178154</v>
      </c>
      <c r="AH54" s="15" t="n">
        <v>0.00176373</v>
      </c>
      <c r="AI54" s="15" t="n">
        <v>0.00174609</v>
      </c>
      <c r="AJ54" s="15" t="n">
        <v>0.00172863</v>
      </c>
      <c r="AK54" s="15" t="n">
        <v>0.00171134</v>
      </c>
      <c r="AL54" s="15" t="n">
        <v>0.00169423</v>
      </c>
      <c r="AM54" s="15" t="n">
        <v>0.00167729</v>
      </c>
      <c r="AN54" s="15" t="n">
        <v>0.00166052</v>
      </c>
      <c r="AO54" s="15" t="n">
        <v>0.00164391</v>
      </c>
      <c r="AP54" s="15" t="n">
        <v>0.00162747</v>
      </c>
      <c r="AQ54" s="15" t="n">
        <v>0.0016112</v>
      </c>
      <c r="AR54" s="15" t="n">
        <v>0.00159508</v>
      </c>
      <c r="AS54" s="15" t="n">
        <v>0.00157913</v>
      </c>
      <c r="AT54" s="15" t="n">
        <v>0.00156334</v>
      </c>
      <c r="AU54" s="15" t="n">
        <v>0.00154771</v>
      </c>
      <c r="AV54" s="15" t="n">
        <v>0.00153223</v>
      </c>
      <c r="AW54" s="15" t="n">
        <v>0.00151691</v>
      </c>
      <c r="AX54" s="15" t="n">
        <v>0.00150174</v>
      </c>
      <c r="AY54" s="15" t="n">
        <v>0.00148672</v>
      </c>
      <c r="AZ54" s="15" t="n">
        <v>0.00147186</v>
      </c>
      <c r="BA54" s="15" t="n">
        <v>0.00145714</v>
      </c>
      <c r="BB54" s="15" t="n">
        <v>0.00144257</v>
      </c>
      <c r="BC54" s="15" t="n">
        <v>0.00142814</v>
      </c>
      <c r="BD54" s="15" t="n">
        <v>0.00141386</v>
      </c>
      <c r="BE54" s="15" t="n">
        <v>0.00139972</v>
      </c>
      <c r="BF54" s="15" t="n">
        <v>0.00138572</v>
      </c>
      <c r="BG54" s="15" t="n">
        <v>0.00137187</v>
      </c>
      <c r="BH54" s="15" t="n">
        <v>0.00135815</v>
      </c>
      <c r="BI54" s="15" t="n">
        <v>0.00134457</v>
      </c>
      <c r="BJ54" s="15" t="n">
        <v>0.00133112</v>
      </c>
      <c r="BK54" s="15" t="n">
        <v>0.00131781</v>
      </c>
      <c r="BL54" s="15" t="n">
        <v>0.00130463</v>
      </c>
      <c r="BM54" s="15" t="n">
        <v>0.00129158</v>
      </c>
      <c r="BN54" s="15" t="n">
        <v>0.00127867</v>
      </c>
      <c r="BO54" s="15" t="n">
        <v>0.00126588</v>
      </c>
      <c r="BP54" s="15" t="n">
        <v>0.00125322</v>
      </c>
      <c r="BQ54" s="15" t="n">
        <v>0.00124069</v>
      </c>
      <c r="BR54" s="15" t="n">
        <v>0.00122828</v>
      </c>
      <c r="BS54" s="15" t="n">
        <v>0.001216</v>
      </c>
      <c r="BT54" s="15" t="n">
        <v>0.00120384</v>
      </c>
      <c r="BU54" s="15" t="n">
        <v>0.0011918</v>
      </c>
      <c r="BV54" s="15" t="n">
        <v>0.00117988</v>
      </c>
      <c r="BW54" s="15" t="n">
        <v>0.00116809</v>
      </c>
      <c r="BX54" s="15" t="n">
        <v>0.0011564</v>
      </c>
    </row>
    <row r="55">
      <c r="A55" t="n">
        <v>52</v>
      </c>
      <c r="B55" s="15" t="n">
        <v>0.00259282</v>
      </c>
      <c r="C55" s="15" t="n">
        <v>0.00255786</v>
      </c>
      <c r="D55" s="15" t="n">
        <v>0.00252492</v>
      </c>
      <c r="E55" s="15" t="n">
        <v>0.00249385</v>
      </c>
      <c r="F55" s="15" t="n">
        <v>0.0024645</v>
      </c>
      <c r="G55" s="15" t="n">
        <v>0.00243671</v>
      </c>
      <c r="H55" s="15" t="n">
        <v>0.00241027</v>
      </c>
      <c r="I55" s="15" t="n">
        <v>0.00238497</v>
      </c>
      <c r="J55" s="15" t="n">
        <v>0.00236057</v>
      </c>
      <c r="K55" s="15" t="n">
        <v>0.00233683</v>
      </c>
      <c r="L55" s="15" t="n">
        <v>0.00231346</v>
      </c>
      <c r="M55" s="15" t="n">
        <v>0.00229033</v>
      </c>
      <c r="N55" s="15" t="n">
        <v>0.00226742</v>
      </c>
      <c r="O55" s="15" t="n">
        <v>0.00224475</v>
      </c>
      <c r="P55" s="15" t="n">
        <v>0.0022223</v>
      </c>
      <c r="Q55" s="15" t="n">
        <v>0.00220008</v>
      </c>
      <c r="R55" s="15" t="n">
        <v>0.00217808</v>
      </c>
      <c r="S55" s="15" t="n">
        <v>0.0021563</v>
      </c>
      <c r="T55" s="15" t="n">
        <v>0.00213473</v>
      </c>
      <c r="U55" s="15" t="n">
        <v>0.00211339</v>
      </c>
      <c r="V55" s="15" t="n">
        <v>0.00209225</v>
      </c>
      <c r="W55" s="15" t="n">
        <v>0.00207133</v>
      </c>
      <c r="X55" s="15" t="n">
        <v>0.00205062</v>
      </c>
      <c r="Y55" s="15" t="n">
        <v>0.00203011</v>
      </c>
      <c r="Z55" s="15" t="n">
        <v>0.00200981</v>
      </c>
      <c r="AA55" s="15" t="n">
        <v>0.00198971</v>
      </c>
      <c r="AB55" s="15" t="n">
        <v>0.00196981</v>
      </c>
      <c r="AC55" s="15" t="n">
        <v>0.00195012</v>
      </c>
      <c r="AD55" s="15" t="n">
        <v>0.00193061</v>
      </c>
      <c r="AE55" s="15" t="n">
        <v>0.00191131</v>
      </c>
      <c r="AF55" s="15" t="n">
        <v>0.00189219</v>
      </c>
      <c r="AG55" s="15" t="n">
        <v>0.00187327</v>
      </c>
      <c r="AH55" s="15" t="n">
        <v>0.00185454</v>
      </c>
      <c r="AI55" s="15" t="n">
        <v>0.00183599</v>
      </c>
      <c r="AJ55" s="15" t="n">
        <v>0.00181763</v>
      </c>
      <c r="AK55" s="15" t="n">
        <v>0.00179946</v>
      </c>
      <c r="AL55" s="15" t="n">
        <v>0.00178146</v>
      </c>
      <c r="AM55" s="15" t="n">
        <v>0.00176365</v>
      </c>
      <c r="AN55" s="15" t="n">
        <v>0.00174601</v>
      </c>
      <c r="AO55" s="15" t="n">
        <v>0.00172855</v>
      </c>
      <c r="AP55" s="15" t="n">
        <v>0.00171127</v>
      </c>
      <c r="AQ55" s="15" t="n">
        <v>0.00169415</v>
      </c>
      <c r="AR55" s="15" t="n">
        <v>0.00167721</v>
      </c>
      <c r="AS55" s="15" t="n">
        <v>0.00166044</v>
      </c>
      <c r="AT55" s="15" t="n">
        <v>0.00164384</v>
      </c>
      <c r="AU55" s="15" t="n">
        <v>0.0016274</v>
      </c>
      <c r="AV55" s="15" t="n">
        <v>0.00161112</v>
      </c>
      <c r="AW55" s="15" t="n">
        <v>0.00159501</v>
      </c>
      <c r="AX55" s="15" t="n">
        <v>0.00157906</v>
      </c>
      <c r="AY55" s="15" t="n">
        <v>0.00156327</v>
      </c>
      <c r="AZ55" s="15" t="n">
        <v>0.00154764</v>
      </c>
      <c r="BA55" s="15" t="n">
        <v>0.00153216</v>
      </c>
      <c r="BB55" s="15" t="n">
        <v>0.00151684</v>
      </c>
      <c r="BC55" s="15" t="n">
        <v>0.00150167</v>
      </c>
      <c r="BD55" s="15" t="n">
        <v>0.00148666</v>
      </c>
      <c r="BE55" s="15" t="n">
        <v>0.00147179</v>
      </c>
      <c r="BF55" s="15" t="n">
        <v>0.00145707</v>
      </c>
      <c r="BG55" s="15" t="n">
        <v>0.0014425</v>
      </c>
      <c r="BH55" s="15" t="n">
        <v>0.00142808</v>
      </c>
      <c r="BI55" s="15" t="n">
        <v>0.0014138</v>
      </c>
      <c r="BJ55" s="15" t="n">
        <v>0.00139966</v>
      </c>
      <c r="BK55" s="15" t="n">
        <v>0.00138566</v>
      </c>
      <c r="BL55" s="15" t="n">
        <v>0.0013718</v>
      </c>
      <c r="BM55" s="15" t="n">
        <v>0.00135809</v>
      </c>
      <c r="BN55" s="15" t="n">
        <v>0.00134451</v>
      </c>
      <c r="BO55" s="15" t="n">
        <v>0.00133106</v>
      </c>
      <c r="BP55" s="15" t="n">
        <v>0.00131775</v>
      </c>
      <c r="BQ55" s="15" t="n">
        <v>0.00130457</v>
      </c>
      <c r="BR55" s="15" t="n">
        <v>0.00129153</v>
      </c>
      <c r="BS55" s="15" t="n">
        <v>0.00127861</v>
      </c>
      <c r="BT55" s="15" t="n">
        <v>0.00126582</v>
      </c>
      <c r="BU55" s="15" t="n">
        <v>0.00125317</v>
      </c>
      <c r="BV55" s="15" t="n">
        <v>0.00124063</v>
      </c>
      <c r="BW55" s="15" t="n">
        <v>0.00122823</v>
      </c>
      <c r="BX55" s="15" t="n">
        <v>0.00121595</v>
      </c>
    </row>
    <row r="56">
      <c r="A56" t="n">
        <v>53</v>
      </c>
      <c r="B56" s="15" t="n">
        <v>0.00271125</v>
      </c>
      <c r="C56" s="15" t="n">
        <v>0.00267398</v>
      </c>
      <c r="D56" s="15" t="n">
        <v>0.00263895</v>
      </c>
      <c r="E56" s="15" t="n">
        <v>0.00260601</v>
      </c>
      <c r="F56" s="15" t="n">
        <v>0.00257499</v>
      </c>
      <c r="G56" s="15" t="n">
        <v>0.0025457</v>
      </c>
      <c r="H56" s="15" t="n">
        <v>0.00251791</v>
      </c>
      <c r="I56" s="15" t="n">
        <v>0.00249138</v>
      </c>
      <c r="J56" s="15" t="n">
        <v>0.00246586</v>
      </c>
      <c r="K56" s="15" t="n">
        <v>0.00244104</v>
      </c>
      <c r="L56" s="15" t="n">
        <v>0.00241663</v>
      </c>
      <c r="M56" s="15" t="n">
        <v>0.00239246</v>
      </c>
      <c r="N56" s="15" t="n">
        <v>0.00236854</v>
      </c>
      <c r="O56" s="15" t="n">
        <v>0.00234485</v>
      </c>
      <c r="P56" s="15" t="n">
        <v>0.0023214</v>
      </c>
      <c r="Q56" s="15" t="n">
        <v>0.00229819</v>
      </c>
      <c r="R56" s="15" t="n">
        <v>0.00227521</v>
      </c>
      <c r="S56" s="15" t="n">
        <v>0.00225246</v>
      </c>
      <c r="T56" s="15" t="n">
        <v>0.00222993</v>
      </c>
      <c r="U56" s="15" t="n">
        <v>0.00220763</v>
      </c>
      <c r="V56" s="15" t="n">
        <v>0.00218556</v>
      </c>
      <c r="W56" s="15" t="n">
        <v>0.0021637</v>
      </c>
      <c r="X56" s="15" t="n">
        <v>0.00214206</v>
      </c>
      <c r="Y56" s="15" t="n">
        <v>0.00212064</v>
      </c>
      <c r="Z56" s="15" t="n">
        <v>0.00209944</v>
      </c>
      <c r="AA56" s="15" t="n">
        <v>0.00207844</v>
      </c>
      <c r="AB56" s="15" t="n">
        <v>0.00205766</v>
      </c>
      <c r="AC56" s="15" t="n">
        <v>0.00203708</v>
      </c>
      <c r="AD56" s="15" t="n">
        <v>0.00201671</v>
      </c>
      <c r="AE56" s="15" t="n">
        <v>0.00199654</v>
      </c>
      <c r="AF56" s="15" t="n">
        <v>0.00197658</v>
      </c>
      <c r="AG56" s="15" t="n">
        <v>0.00195681</v>
      </c>
      <c r="AH56" s="15" t="n">
        <v>0.00193724</v>
      </c>
      <c r="AI56" s="15" t="n">
        <v>0.00191787</v>
      </c>
      <c r="AJ56" s="15" t="n">
        <v>0.00189869</v>
      </c>
      <c r="AK56" s="15" t="n">
        <v>0.00187971</v>
      </c>
      <c r="AL56" s="15" t="n">
        <v>0.00186091</v>
      </c>
      <c r="AM56" s="15" t="n">
        <v>0.0018423</v>
      </c>
      <c r="AN56" s="15" t="n">
        <v>0.00182388</v>
      </c>
      <c r="AO56" s="15" t="n">
        <v>0.00180564</v>
      </c>
      <c r="AP56" s="15" t="n">
        <v>0.00178758</v>
      </c>
      <c r="AQ56" s="15" t="n">
        <v>0.00176971</v>
      </c>
      <c r="AR56" s="15" t="n">
        <v>0.00175201</v>
      </c>
      <c r="AS56" s="15" t="n">
        <v>0.00173449</v>
      </c>
      <c r="AT56" s="15" t="n">
        <v>0.00171714</v>
      </c>
      <c r="AU56" s="15" t="n">
        <v>0.00169997</v>
      </c>
      <c r="AV56" s="15" t="n">
        <v>0.00168297</v>
      </c>
      <c r="AW56" s="15" t="n">
        <v>0.00166614</v>
      </c>
      <c r="AX56" s="15" t="n">
        <v>0.00164948</v>
      </c>
      <c r="AY56" s="15" t="n">
        <v>0.00163299</v>
      </c>
      <c r="AZ56" s="15" t="n">
        <v>0.00161666</v>
      </c>
      <c r="BA56" s="15" t="n">
        <v>0.00160049</v>
      </c>
      <c r="BB56" s="15" t="n">
        <v>0.00158448</v>
      </c>
      <c r="BC56" s="15" t="n">
        <v>0.00156864</v>
      </c>
      <c r="BD56" s="15" t="n">
        <v>0.00155295</v>
      </c>
      <c r="BE56" s="15" t="n">
        <v>0.00153742</v>
      </c>
      <c r="BF56" s="15" t="n">
        <v>0.00152205</v>
      </c>
      <c r="BG56" s="15" t="n">
        <v>0.00150683</v>
      </c>
      <c r="BH56" s="15" t="n">
        <v>0.00149176</v>
      </c>
      <c r="BI56" s="15" t="n">
        <v>0.00147684</v>
      </c>
      <c r="BJ56" s="15" t="n">
        <v>0.00146207</v>
      </c>
      <c r="BK56" s="15" t="n">
        <v>0.00144745</v>
      </c>
      <c r="BL56" s="15" t="n">
        <v>0.00143298</v>
      </c>
      <c r="BM56" s="15" t="n">
        <v>0.00141865</v>
      </c>
      <c r="BN56" s="15" t="n">
        <v>0.00140446</v>
      </c>
      <c r="BO56" s="15" t="n">
        <v>0.00139042</v>
      </c>
      <c r="BP56" s="15" t="n">
        <v>0.00137651</v>
      </c>
      <c r="BQ56" s="15" t="n">
        <v>0.00136275</v>
      </c>
      <c r="BR56" s="15" t="n">
        <v>0.00134912</v>
      </c>
      <c r="BS56" s="15" t="n">
        <v>0.00133563</v>
      </c>
      <c r="BT56" s="15" t="n">
        <v>0.00132227</v>
      </c>
      <c r="BU56" s="15" t="n">
        <v>0.00130905</v>
      </c>
      <c r="BV56" s="15" t="n">
        <v>0.00129596</v>
      </c>
      <c r="BW56" s="15" t="n">
        <v>0.001283</v>
      </c>
      <c r="BX56" s="15" t="n">
        <v>0.00127017</v>
      </c>
    </row>
    <row r="57">
      <c r="A57" t="n">
        <v>54</v>
      </c>
      <c r="B57" s="15" t="n">
        <v>0.00308951</v>
      </c>
      <c r="C57" s="15" t="n">
        <v>0.00304621</v>
      </c>
      <c r="D57" s="15" t="n">
        <v>0.00300561</v>
      </c>
      <c r="E57" s="15" t="n">
        <v>0.00296756</v>
      </c>
      <c r="F57" s="15" t="n">
        <v>0.00293183</v>
      </c>
      <c r="G57" s="15" t="n">
        <v>0.00289819</v>
      </c>
      <c r="H57" s="15" t="n">
        <v>0.00286636</v>
      </c>
      <c r="I57" s="15" t="n">
        <v>0.00283605</v>
      </c>
      <c r="J57" s="15" t="n">
        <v>0.00280694</v>
      </c>
      <c r="K57" s="15" t="n">
        <v>0.00277868</v>
      </c>
      <c r="L57" s="15" t="n">
        <v>0.00275089</v>
      </c>
      <c r="M57" s="15" t="n">
        <v>0.00272338</v>
      </c>
      <c r="N57" s="15" t="n">
        <v>0.00269615</v>
      </c>
      <c r="O57" s="15" t="n">
        <v>0.00266919</v>
      </c>
      <c r="P57" s="15" t="n">
        <v>0.0026425</v>
      </c>
      <c r="Q57" s="15" t="n">
        <v>0.00261607</v>
      </c>
      <c r="R57" s="15" t="n">
        <v>0.00258991</v>
      </c>
      <c r="S57" s="15" t="n">
        <v>0.00256401</v>
      </c>
      <c r="T57" s="15" t="n">
        <v>0.00253837</v>
      </c>
      <c r="U57" s="15" t="n">
        <v>0.00251299</v>
      </c>
      <c r="V57" s="15" t="n">
        <v>0.00248786</v>
      </c>
      <c r="W57" s="15" t="n">
        <v>0.00246298</v>
      </c>
      <c r="X57" s="15" t="n">
        <v>0.00243835</v>
      </c>
      <c r="Y57" s="15" t="n">
        <v>0.00241397</v>
      </c>
      <c r="Z57" s="15" t="n">
        <v>0.00238983</v>
      </c>
      <c r="AA57" s="15" t="n">
        <v>0.00236593</v>
      </c>
      <c r="AB57" s="15" t="n">
        <v>0.00234227</v>
      </c>
      <c r="AC57" s="15" t="n">
        <v>0.00231885</v>
      </c>
      <c r="AD57" s="15" t="n">
        <v>0.00229566</v>
      </c>
      <c r="AE57" s="15" t="n">
        <v>0.0022727</v>
      </c>
      <c r="AF57" s="15" t="n">
        <v>0.00224997</v>
      </c>
      <c r="AG57" s="15" t="n">
        <v>0.00222747</v>
      </c>
      <c r="AH57" s="15" t="n">
        <v>0.0022052</v>
      </c>
      <c r="AI57" s="15" t="n">
        <v>0.00218315</v>
      </c>
      <c r="AJ57" s="15" t="n">
        <v>0.00216132</v>
      </c>
      <c r="AK57" s="15" t="n">
        <v>0.0021397</v>
      </c>
      <c r="AL57" s="15" t="n">
        <v>0.00211831</v>
      </c>
      <c r="AM57" s="15" t="n">
        <v>0.00209712</v>
      </c>
      <c r="AN57" s="15" t="n">
        <v>0.00207615</v>
      </c>
      <c r="AO57" s="15" t="n">
        <v>0.00205539</v>
      </c>
      <c r="AP57" s="15" t="n">
        <v>0.00203484</v>
      </c>
      <c r="AQ57" s="15" t="n">
        <v>0.00201449</v>
      </c>
      <c r="AR57" s="15" t="n">
        <v>0.00199434</v>
      </c>
      <c r="AS57" s="15" t="n">
        <v>0.0019744</v>
      </c>
      <c r="AT57" s="15" t="n">
        <v>0.00195466</v>
      </c>
      <c r="AU57" s="15" t="n">
        <v>0.00193511</v>
      </c>
      <c r="AV57" s="15" t="n">
        <v>0.00191576</v>
      </c>
      <c r="AW57" s="15" t="n">
        <v>0.0018966</v>
      </c>
      <c r="AX57" s="15" t="n">
        <v>0.00187763</v>
      </c>
      <c r="AY57" s="15" t="n">
        <v>0.00185886</v>
      </c>
      <c r="AZ57" s="15" t="n">
        <v>0.00184027</v>
      </c>
      <c r="BA57" s="15" t="n">
        <v>0.00182187</v>
      </c>
      <c r="BB57" s="15" t="n">
        <v>0.00180365</v>
      </c>
      <c r="BC57" s="15" t="n">
        <v>0.00178561</v>
      </c>
      <c r="BD57" s="15" t="n">
        <v>0.00176776</v>
      </c>
      <c r="BE57" s="15" t="n">
        <v>0.00175008</v>
      </c>
      <c r="BF57" s="15" t="n">
        <v>0.00173258</v>
      </c>
      <c r="BG57" s="15" t="n">
        <v>0.00171525</v>
      </c>
      <c r="BH57" s="15" t="n">
        <v>0.0016981</v>
      </c>
      <c r="BI57" s="15" t="n">
        <v>0.00168112</v>
      </c>
      <c r="BJ57" s="15" t="n">
        <v>0.00166431</v>
      </c>
      <c r="BK57" s="15" t="n">
        <v>0.00164766</v>
      </c>
      <c r="BL57" s="15" t="n">
        <v>0.00163119</v>
      </c>
      <c r="BM57" s="15" t="n">
        <v>0.00161488</v>
      </c>
      <c r="BN57" s="15" t="n">
        <v>0.00159873</v>
      </c>
      <c r="BO57" s="15" t="n">
        <v>0.00158274</v>
      </c>
      <c r="BP57" s="15" t="n">
        <v>0.00156691</v>
      </c>
      <c r="BQ57" s="15" t="n">
        <v>0.00155124</v>
      </c>
      <c r="BR57" s="15" t="n">
        <v>0.00153573</v>
      </c>
      <c r="BS57" s="15" t="n">
        <v>0.00152037</v>
      </c>
      <c r="BT57" s="15" t="n">
        <v>0.00150517</v>
      </c>
      <c r="BU57" s="15" t="n">
        <v>0.00149012</v>
      </c>
      <c r="BV57" s="15" t="n">
        <v>0.00147522</v>
      </c>
      <c r="BW57" s="15" t="n">
        <v>0.00146046</v>
      </c>
      <c r="BX57" s="15" t="n">
        <v>0.00144586</v>
      </c>
    </row>
    <row r="58">
      <c r="A58" t="n">
        <v>55</v>
      </c>
      <c r="B58" s="15" t="n">
        <v>0.00346327</v>
      </c>
      <c r="C58" s="15" t="n">
        <v>0.00341382</v>
      </c>
      <c r="D58" s="15" t="n">
        <v>0.00336759</v>
      </c>
      <c r="E58" s="15" t="n">
        <v>0.00332438</v>
      </c>
      <c r="F58" s="15" t="n">
        <v>0.00328391</v>
      </c>
      <c r="G58" s="15" t="n">
        <v>0.00324591</v>
      </c>
      <c r="H58" s="15" t="n">
        <v>0.00321005</v>
      </c>
      <c r="I58" s="15" t="n">
        <v>0.00317599</v>
      </c>
      <c r="J58" s="15" t="n">
        <v>0.00314333</v>
      </c>
      <c r="K58" s="15" t="n">
        <v>0.00311167</v>
      </c>
      <c r="L58" s="15" t="n">
        <v>0.00308056</v>
      </c>
      <c r="M58" s="15" t="n">
        <v>0.00304975</v>
      </c>
      <c r="N58" s="15" t="n">
        <v>0.00301925</v>
      </c>
      <c r="O58" s="15" t="n">
        <v>0.00298906</v>
      </c>
      <c r="P58" s="15" t="n">
        <v>0.00295917</v>
      </c>
      <c r="Q58" s="15" t="n">
        <v>0.00292958</v>
      </c>
      <c r="R58" s="15" t="n">
        <v>0.00290028</v>
      </c>
      <c r="S58" s="15" t="n">
        <v>0.00287128</v>
      </c>
      <c r="T58" s="15" t="n">
        <v>0.00284257</v>
      </c>
      <c r="U58" s="15" t="n">
        <v>0.00281414</v>
      </c>
      <c r="V58" s="15" t="n">
        <v>0.002786</v>
      </c>
      <c r="W58" s="15" t="n">
        <v>0.00275814</v>
      </c>
      <c r="X58" s="15" t="n">
        <v>0.00273056</v>
      </c>
      <c r="Y58" s="15" t="n">
        <v>0.00270325</v>
      </c>
      <c r="Z58" s="15" t="n">
        <v>0.00267622</v>
      </c>
      <c r="AA58" s="15" t="n">
        <v>0.00264946</v>
      </c>
      <c r="AB58" s="15" t="n">
        <v>0.00262296</v>
      </c>
      <c r="AC58" s="15" t="n">
        <v>0.00259673</v>
      </c>
      <c r="AD58" s="15" t="n">
        <v>0.00257077</v>
      </c>
      <c r="AE58" s="15" t="n">
        <v>0.00254506</v>
      </c>
      <c r="AF58" s="15" t="n">
        <v>0.00251961</v>
      </c>
      <c r="AG58" s="15" t="n">
        <v>0.00249441</v>
      </c>
      <c r="AH58" s="15" t="n">
        <v>0.00246947</v>
      </c>
      <c r="AI58" s="15" t="n">
        <v>0.00244477</v>
      </c>
      <c r="AJ58" s="15" t="n">
        <v>0.00242032</v>
      </c>
      <c r="AK58" s="15" t="n">
        <v>0.00239612</v>
      </c>
      <c r="AL58" s="15" t="n">
        <v>0.00237216</v>
      </c>
      <c r="AM58" s="15" t="n">
        <v>0.00234844</v>
      </c>
      <c r="AN58" s="15" t="n">
        <v>0.00232495</v>
      </c>
      <c r="AO58" s="15" t="n">
        <v>0.0023017</v>
      </c>
      <c r="AP58" s="15" t="n">
        <v>0.00227869</v>
      </c>
      <c r="AQ58" s="15" t="n">
        <v>0.0022559</v>
      </c>
      <c r="AR58" s="15" t="n">
        <v>0.00223334</v>
      </c>
      <c r="AS58" s="15" t="n">
        <v>0.00221101</v>
      </c>
      <c r="AT58" s="15" t="n">
        <v>0.0021889</v>
      </c>
      <c r="AU58" s="15" t="n">
        <v>0.00216701</v>
      </c>
      <c r="AV58" s="15" t="n">
        <v>0.00214534</v>
      </c>
      <c r="AW58" s="15" t="n">
        <v>0.00212389</v>
      </c>
      <c r="AX58" s="15" t="n">
        <v>0.00210265</v>
      </c>
      <c r="AY58" s="15" t="n">
        <v>0.00208162</v>
      </c>
      <c r="AZ58" s="15" t="n">
        <v>0.0020608</v>
      </c>
      <c r="BA58" s="15" t="n">
        <v>0.0020402</v>
      </c>
      <c r="BB58" s="15" t="n">
        <v>0.00201979</v>
      </c>
      <c r="BC58" s="15" t="n">
        <v>0.0019996</v>
      </c>
      <c r="BD58" s="15" t="n">
        <v>0.0019796</v>
      </c>
      <c r="BE58" s="15" t="n">
        <v>0.0019598</v>
      </c>
      <c r="BF58" s="15" t="n">
        <v>0.00194021</v>
      </c>
      <c r="BG58" s="15" t="n">
        <v>0.0019208</v>
      </c>
      <c r="BH58" s="15" t="n">
        <v>0.0019016</v>
      </c>
      <c r="BI58" s="15" t="n">
        <v>0.00188258</v>
      </c>
      <c r="BJ58" s="15" t="n">
        <v>0.00186375</v>
      </c>
      <c r="BK58" s="15" t="n">
        <v>0.00184512</v>
      </c>
      <c r="BL58" s="15" t="n">
        <v>0.00182667</v>
      </c>
      <c r="BM58" s="15" t="n">
        <v>0.0018084</v>
      </c>
      <c r="BN58" s="15" t="n">
        <v>0.00179032</v>
      </c>
      <c r="BO58" s="15" t="n">
        <v>0.00177241</v>
      </c>
      <c r="BP58" s="15" t="n">
        <v>0.00175469</v>
      </c>
      <c r="BQ58" s="15" t="n">
        <v>0.00173714</v>
      </c>
      <c r="BR58" s="15" t="n">
        <v>0.00171977</v>
      </c>
      <c r="BS58" s="15" t="n">
        <v>0.00170257</v>
      </c>
      <c r="BT58" s="15" t="n">
        <v>0.00168555</v>
      </c>
      <c r="BU58" s="15" t="n">
        <v>0.00166869</v>
      </c>
      <c r="BV58" s="15" t="n">
        <v>0.001652</v>
      </c>
      <c r="BW58" s="15" t="n">
        <v>0.00163548</v>
      </c>
      <c r="BX58" s="15" t="n">
        <v>0.00161913</v>
      </c>
    </row>
    <row r="59">
      <c r="A59" t="n">
        <v>56</v>
      </c>
      <c r="B59" s="15" t="n">
        <v>0.00384249</v>
      </c>
      <c r="C59" s="15" t="n">
        <v>0.00378672</v>
      </c>
      <c r="D59" s="15" t="n">
        <v>0.00373469</v>
      </c>
      <c r="E59" s="15" t="n">
        <v>0.00368617</v>
      </c>
      <c r="F59" s="15" t="n">
        <v>0.00364085</v>
      </c>
      <c r="G59" s="15" t="n">
        <v>0.00359841</v>
      </c>
      <c r="H59" s="15" t="n">
        <v>0.00355845</v>
      </c>
      <c r="I59" s="15" t="n">
        <v>0.00352057</v>
      </c>
      <c r="J59" s="15" t="n">
        <v>0.00348432</v>
      </c>
      <c r="K59" s="15" t="n">
        <v>0.00344921</v>
      </c>
      <c r="L59" s="15" t="n">
        <v>0.00341471</v>
      </c>
      <c r="M59" s="15" t="n">
        <v>0.00338057</v>
      </c>
      <c r="N59" s="15" t="n">
        <v>0.00334676</v>
      </c>
      <c r="O59" s="15" t="n">
        <v>0.00331329</v>
      </c>
      <c r="P59" s="15" t="n">
        <v>0.00328016</v>
      </c>
      <c r="Q59" s="15" t="n">
        <v>0.00324736</v>
      </c>
      <c r="R59" s="15" t="n">
        <v>0.00321489</v>
      </c>
      <c r="S59" s="15" t="n">
        <v>0.00318274</v>
      </c>
      <c r="T59" s="15" t="n">
        <v>0.00315091</v>
      </c>
      <c r="U59" s="15" t="n">
        <v>0.0031194</v>
      </c>
      <c r="V59" s="15" t="n">
        <v>0.00308821</v>
      </c>
      <c r="W59" s="15" t="n">
        <v>0.00305732</v>
      </c>
      <c r="X59" s="15" t="n">
        <v>0.00302675</v>
      </c>
      <c r="Y59" s="15" t="n">
        <v>0.00299648</v>
      </c>
      <c r="Z59" s="15" t="n">
        <v>0.00296652</v>
      </c>
      <c r="AA59" s="15" t="n">
        <v>0.00293685</v>
      </c>
      <c r="AB59" s="15" t="n">
        <v>0.00290749</v>
      </c>
      <c r="AC59" s="15" t="n">
        <v>0.00287841</v>
      </c>
      <c r="AD59" s="15" t="n">
        <v>0.00284963</v>
      </c>
      <c r="AE59" s="15" t="n">
        <v>0.00282113</v>
      </c>
      <c r="AF59" s="15" t="n">
        <v>0.00279292</v>
      </c>
      <c r="AG59" s="15" t="n">
        <v>0.00276499</v>
      </c>
      <c r="AH59" s="15" t="n">
        <v>0.00273734</v>
      </c>
      <c r="AI59" s="15" t="n">
        <v>0.00270997</v>
      </c>
      <c r="AJ59" s="15" t="n">
        <v>0.00268287</v>
      </c>
      <c r="AK59" s="15" t="n">
        <v>0.00265604</v>
      </c>
      <c r="AL59" s="15" t="n">
        <v>0.00262948</v>
      </c>
      <c r="AM59" s="15" t="n">
        <v>0.00260318</v>
      </c>
      <c r="AN59" s="15" t="n">
        <v>0.00257715</v>
      </c>
      <c r="AO59" s="15" t="n">
        <v>0.00255138</v>
      </c>
      <c r="AP59" s="15" t="n">
        <v>0.00252587</v>
      </c>
      <c r="AQ59" s="15" t="n">
        <v>0.00250061</v>
      </c>
      <c r="AR59" s="15" t="n">
        <v>0.0024756</v>
      </c>
      <c r="AS59" s="15" t="n">
        <v>0.00245084</v>
      </c>
      <c r="AT59" s="15" t="n">
        <v>0.00242634</v>
      </c>
      <c r="AU59" s="15" t="n">
        <v>0.00240207</v>
      </c>
      <c r="AV59" s="15" t="n">
        <v>0.00237805</v>
      </c>
      <c r="AW59" s="15" t="n">
        <v>0.00235427</v>
      </c>
      <c r="AX59" s="15" t="n">
        <v>0.00233073</v>
      </c>
      <c r="AY59" s="15" t="n">
        <v>0.00230742</v>
      </c>
      <c r="AZ59" s="15" t="n">
        <v>0.00228435</v>
      </c>
      <c r="BA59" s="15" t="n">
        <v>0.0022615</v>
      </c>
      <c r="BB59" s="15" t="n">
        <v>0.00223889</v>
      </c>
      <c r="BC59" s="15" t="n">
        <v>0.0022165</v>
      </c>
      <c r="BD59" s="15" t="n">
        <v>0.00219434</v>
      </c>
      <c r="BE59" s="15" t="n">
        <v>0.00217239</v>
      </c>
      <c r="BF59" s="15" t="n">
        <v>0.00215067</v>
      </c>
      <c r="BG59" s="15" t="n">
        <v>0.00212916</v>
      </c>
      <c r="BH59" s="15" t="n">
        <v>0.00210787</v>
      </c>
      <c r="BI59" s="15" t="n">
        <v>0.00208679</v>
      </c>
      <c r="BJ59" s="15" t="n">
        <v>0.00206592</v>
      </c>
      <c r="BK59" s="15" t="n">
        <v>0.00204526</v>
      </c>
      <c r="BL59" s="15" t="n">
        <v>0.00202481</v>
      </c>
      <c r="BM59" s="15" t="n">
        <v>0.00200456</v>
      </c>
      <c r="BN59" s="15" t="n">
        <v>0.00198452</v>
      </c>
      <c r="BO59" s="15" t="n">
        <v>0.00196467</v>
      </c>
      <c r="BP59" s="15" t="n">
        <v>0.00194503</v>
      </c>
      <c r="BQ59" s="15" t="n">
        <v>0.00192558</v>
      </c>
      <c r="BR59" s="15" t="n">
        <v>0.00190632</v>
      </c>
      <c r="BS59" s="15" t="n">
        <v>0.00188726</v>
      </c>
      <c r="BT59" s="15" t="n">
        <v>0.00186838</v>
      </c>
      <c r="BU59" s="15" t="n">
        <v>0.0018497</v>
      </c>
      <c r="BV59" s="15" t="n">
        <v>0.0018312</v>
      </c>
      <c r="BW59" s="15" t="n">
        <v>0.00181289</v>
      </c>
      <c r="BX59" s="15" t="n">
        <v>0.00179476</v>
      </c>
    </row>
    <row r="60">
      <c r="A60" t="n">
        <v>57</v>
      </c>
      <c r="B60" s="15" t="n">
        <v>0.00423478</v>
      </c>
      <c r="C60" s="15" t="n">
        <v>0.00417244</v>
      </c>
      <c r="D60" s="15" t="n">
        <v>0.00411441</v>
      </c>
      <c r="E60" s="15" t="n">
        <v>0.0040604</v>
      </c>
      <c r="F60" s="15" t="n">
        <v>0.00401006</v>
      </c>
      <c r="G60" s="15" t="n">
        <v>0.003963</v>
      </c>
      <c r="H60" s="15" t="n">
        <v>0.00391879</v>
      </c>
      <c r="I60" s="15" t="n">
        <v>0.00387696</v>
      </c>
      <c r="J60" s="15" t="n">
        <v>0.00383698</v>
      </c>
      <c r="K60" s="15" t="n">
        <v>0.0037983</v>
      </c>
      <c r="L60" s="15" t="n">
        <v>0.00376032</v>
      </c>
      <c r="M60" s="15" t="n">
        <v>0.00372272</v>
      </c>
      <c r="N60" s="15" t="n">
        <v>0.00368549</v>
      </c>
      <c r="O60" s="15" t="n">
        <v>0.00364864</v>
      </c>
      <c r="P60" s="15" t="n">
        <v>0.00361215</v>
      </c>
      <c r="Q60" s="15" t="n">
        <v>0.00357603</v>
      </c>
      <c r="R60" s="15" t="n">
        <v>0.00354027</v>
      </c>
      <c r="S60" s="15" t="n">
        <v>0.00350486</v>
      </c>
      <c r="T60" s="15" t="n">
        <v>0.00346982</v>
      </c>
      <c r="U60" s="15" t="n">
        <v>0.00343512</v>
      </c>
      <c r="V60" s="15" t="n">
        <v>0.00340077</v>
      </c>
      <c r="W60" s="15" t="n">
        <v>0.00336676</v>
      </c>
      <c r="X60" s="15" t="n">
        <v>0.00333309</v>
      </c>
      <c r="Y60" s="15" t="n">
        <v>0.00329976</v>
      </c>
      <c r="Z60" s="15" t="n">
        <v>0.00326676</v>
      </c>
      <c r="AA60" s="15" t="n">
        <v>0.0032341</v>
      </c>
      <c r="AB60" s="15" t="n">
        <v>0.00320175</v>
      </c>
      <c r="AC60" s="15" t="n">
        <v>0.00316974</v>
      </c>
      <c r="AD60" s="15" t="n">
        <v>0.00313804</v>
      </c>
      <c r="AE60" s="15" t="n">
        <v>0.00310666</v>
      </c>
      <c r="AF60" s="15" t="n">
        <v>0.00307559</v>
      </c>
      <c r="AG60" s="15" t="n">
        <v>0.00304484</v>
      </c>
      <c r="AH60" s="15" t="n">
        <v>0.00301439</v>
      </c>
      <c r="AI60" s="15" t="n">
        <v>0.00298424</v>
      </c>
      <c r="AJ60" s="15" t="n">
        <v>0.0029544</v>
      </c>
      <c r="AK60" s="15" t="n">
        <v>0.00292486</v>
      </c>
      <c r="AL60" s="15" t="n">
        <v>0.00289561</v>
      </c>
      <c r="AM60" s="15" t="n">
        <v>0.00286665</v>
      </c>
      <c r="AN60" s="15" t="n">
        <v>0.00283799</v>
      </c>
      <c r="AO60" s="15" t="n">
        <v>0.00280961</v>
      </c>
      <c r="AP60" s="15" t="n">
        <v>0.00278151</v>
      </c>
      <c r="AQ60" s="15" t="n">
        <v>0.0027537</v>
      </c>
      <c r="AR60" s="15" t="n">
        <v>0.00272616</v>
      </c>
      <c r="AS60" s="15" t="n">
        <v>0.0026989</v>
      </c>
      <c r="AT60" s="15" t="n">
        <v>0.00267191</v>
      </c>
      <c r="AU60" s="15" t="n">
        <v>0.00264519</v>
      </c>
      <c r="AV60" s="15" t="n">
        <v>0.00261874</v>
      </c>
      <c r="AW60" s="15" t="n">
        <v>0.00259255</v>
      </c>
      <c r="AX60" s="15" t="n">
        <v>0.00256662</v>
      </c>
      <c r="AY60" s="15" t="n">
        <v>0.00254096</v>
      </c>
      <c r="AZ60" s="15" t="n">
        <v>0.00251555</v>
      </c>
      <c r="BA60" s="15" t="n">
        <v>0.00249039</v>
      </c>
      <c r="BB60" s="15" t="n">
        <v>0.00246549</v>
      </c>
      <c r="BC60" s="15" t="n">
        <v>0.00244083</v>
      </c>
      <c r="BD60" s="15" t="n">
        <v>0.00241643</v>
      </c>
      <c r="BE60" s="15" t="n">
        <v>0.00239226</v>
      </c>
      <c r="BF60" s="15" t="n">
        <v>0.00236834</v>
      </c>
      <c r="BG60" s="15" t="n">
        <v>0.00234466</v>
      </c>
      <c r="BH60" s="15" t="n">
        <v>0.00232121</v>
      </c>
      <c r="BI60" s="15" t="n">
        <v>0.002298</v>
      </c>
      <c r="BJ60" s="15" t="n">
        <v>0.00227502</v>
      </c>
      <c r="BK60" s="15" t="n">
        <v>0.00225227</v>
      </c>
      <c r="BL60" s="15" t="n">
        <v>0.00222974</v>
      </c>
      <c r="BM60" s="15" t="n">
        <v>0.00220745</v>
      </c>
      <c r="BN60" s="15" t="n">
        <v>0.00218537</v>
      </c>
      <c r="BO60" s="15" t="n">
        <v>0.00216352</v>
      </c>
      <c r="BP60" s="15" t="n">
        <v>0.00214188</v>
      </c>
      <c r="BQ60" s="15" t="n">
        <v>0.00212046</v>
      </c>
      <c r="BR60" s="15" t="n">
        <v>0.00209926</v>
      </c>
      <c r="BS60" s="15" t="n">
        <v>0.00207827</v>
      </c>
      <c r="BT60" s="15" t="n">
        <v>0.00205748</v>
      </c>
      <c r="BU60" s="15" t="n">
        <v>0.00203691</v>
      </c>
      <c r="BV60" s="15" t="n">
        <v>0.00201654</v>
      </c>
      <c r="BW60" s="15" t="n">
        <v>0.00199638</v>
      </c>
      <c r="BX60" s="15" t="n">
        <v>0.00197641</v>
      </c>
    </row>
    <row r="61">
      <c r="A61" t="n">
        <v>58</v>
      </c>
      <c r="B61" s="15" t="n">
        <v>0.00464022</v>
      </c>
      <c r="C61" s="15" t="n">
        <v>0.00457114</v>
      </c>
      <c r="D61" s="15" t="n">
        <v>0.00450693</v>
      </c>
      <c r="E61" s="15" t="n">
        <v>0.00444726</v>
      </c>
      <c r="F61" s="15" t="n">
        <v>0.00439175</v>
      </c>
      <c r="G61" s="15" t="n">
        <v>0.00433994</v>
      </c>
      <c r="H61" s="15" t="n">
        <v>0.00429135</v>
      </c>
      <c r="I61" s="15" t="n">
        <v>0.00424544</v>
      </c>
      <c r="J61" s="15" t="n">
        <v>0.00420162</v>
      </c>
      <c r="K61" s="15" t="n">
        <v>0.00415926</v>
      </c>
      <c r="L61" s="15" t="n">
        <v>0.00411767</v>
      </c>
      <c r="M61" s="15" t="n">
        <v>0.00407649</v>
      </c>
      <c r="N61" s="15" t="n">
        <v>0.00403572</v>
      </c>
      <c r="O61" s="15" t="n">
        <v>0.00399537</v>
      </c>
      <c r="P61" s="15" t="n">
        <v>0.00395541</v>
      </c>
      <c r="Q61" s="15" t="n">
        <v>0.00391586</v>
      </c>
      <c r="R61" s="15" t="n">
        <v>0.0038767</v>
      </c>
      <c r="S61" s="15" t="n">
        <v>0.00383793</v>
      </c>
      <c r="T61" s="15" t="n">
        <v>0.00379955</v>
      </c>
      <c r="U61" s="15" t="n">
        <v>0.00376156</v>
      </c>
      <c r="V61" s="15" t="n">
        <v>0.00372394</v>
      </c>
      <c r="W61" s="15" t="n">
        <v>0.0036867</v>
      </c>
      <c r="X61" s="15" t="n">
        <v>0.00364984</v>
      </c>
      <c r="Y61" s="15" t="n">
        <v>0.00361334</v>
      </c>
      <c r="Z61" s="15" t="n">
        <v>0.0035772</v>
      </c>
      <c r="AA61" s="15" t="n">
        <v>0.00354143</v>
      </c>
      <c r="AB61" s="15" t="n">
        <v>0.00350602</v>
      </c>
      <c r="AC61" s="15" t="n">
        <v>0.00347096</v>
      </c>
      <c r="AD61" s="15" t="n">
        <v>0.00343625</v>
      </c>
      <c r="AE61" s="15" t="n">
        <v>0.00340189</v>
      </c>
      <c r="AF61" s="15" t="n">
        <v>0.00336787</v>
      </c>
      <c r="AG61" s="15" t="n">
        <v>0.00333419</v>
      </c>
      <c r="AH61" s="15" t="n">
        <v>0.00330085</v>
      </c>
      <c r="AI61" s="15" t="n">
        <v>0.00326784</v>
      </c>
      <c r="AJ61" s="15" t="n">
        <v>0.00323516</v>
      </c>
      <c r="AK61" s="15" t="n">
        <v>0.00320281</v>
      </c>
      <c r="AL61" s="15" t="n">
        <v>0.00317078</v>
      </c>
      <c r="AM61" s="15" t="n">
        <v>0.00313907</v>
      </c>
      <c r="AN61" s="15" t="n">
        <v>0.00310768</v>
      </c>
      <c r="AO61" s="15" t="n">
        <v>0.0030766</v>
      </c>
      <c r="AP61" s="15" t="n">
        <v>0.00304584</v>
      </c>
      <c r="AQ61" s="15" t="n">
        <v>0.00301538</v>
      </c>
      <c r="AR61" s="15" t="n">
        <v>0.00298523</v>
      </c>
      <c r="AS61" s="15" t="n">
        <v>0.00295537</v>
      </c>
      <c r="AT61" s="15" t="n">
        <v>0.00292582</v>
      </c>
      <c r="AU61" s="15" t="n">
        <v>0.00289656</v>
      </c>
      <c r="AV61" s="15" t="n">
        <v>0.0028676</v>
      </c>
      <c r="AW61" s="15" t="n">
        <v>0.00283892</v>
      </c>
      <c r="AX61" s="15" t="n">
        <v>0.00281053</v>
      </c>
      <c r="AY61" s="15" t="n">
        <v>0.00278243</v>
      </c>
      <c r="AZ61" s="15" t="n">
        <v>0.0027546</v>
      </c>
      <c r="BA61" s="15" t="n">
        <v>0.00272706</v>
      </c>
      <c r="BB61" s="15" t="n">
        <v>0.00269979</v>
      </c>
      <c r="BC61" s="15" t="n">
        <v>0.00267279</v>
      </c>
      <c r="BD61" s="15" t="n">
        <v>0.00264606</v>
      </c>
      <c r="BE61" s="15" t="n">
        <v>0.0026196</v>
      </c>
      <c r="BF61" s="15" t="n">
        <v>0.0025934</v>
      </c>
      <c r="BG61" s="15" t="n">
        <v>0.00256747</v>
      </c>
      <c r="BH61" s="15" t="n">
        <v>0.00254179</v>
      </c>
      <c r="BI61" s="15" t="n">
        <v>0.00251638</v>
      </c>
      <c r="BJ61" s="15" t="n">
        <v>0.00249121</v>
      </c>
      <c r="BK61" s="15" t="n">
        <v>0.0024663</v>
      </c>
      <c r="BL61" s="15" t="n">
        <v>0.00244164</v>
      </c>
      <c r="BM61" s="15" t="n">
        <v>0.00241722</v>
      </c>
      <c r="BN61" s="15" t="n">
        <v>0.00239305</v>
      </c>
      <c r="BO61" s="15" t="n">
        <v>0.00236912</v>
      </c>
      <c r="BP61" s="15" t="n">
        <v>0.00234543</v>
      </c>
      <c r="BQ61" s="15" t="n">
        <v>0.00232197</v>
      </c>
      <c r="BR61" s="15" t="n">
        <v>0.00229875</v>
      </c>
      <c r="BS61" s="15" t="n">
        <v>0.00227577</v>
      </c>
      <c r="BT61" s="15" t="n">
        <v>0.00225301</v>
      </c>
      <c r="BU61" s="15" t="n">
        <v>0.00223048</v>
      </c>
      <c r="BV61" s="15" t="n">
        <v>0.00220817</v>
      </c>
      <c r="BW61" s="15" t="n">
        <v>0.00218609</v>
      </c>
      <c r="BX61" s="15" t="n">
        <v>0.00216423</v>
      </c>
    </row>
    <row r="62">
      <c r="A62" t="n">
        <v>59</v>
      </c>
      <c r="B62" s="15" t="n">
        <v>0.00505307</v>
      </c>
      <c r="C62" s="15" t="n">
        <v>0.00497721</v>
      </c>
      <c r="D62" s="15" t="n">
        <v>0.00490679</v>
      </c>
      <c r="E62" s="15" t="n">
        <v>0.00484143</v>
      </c>
      <c r="F62" s="15" t="n">
        <v>0.00478069</v>
      </c>
      <c r="G62" s="15" t="n">
        <v>0.00472407</v>
      </c>
      <c r="H62" s="15" t="n">
        <v>0.00467104</v>
      </c>
      <c r="I62" s="15" t="n">
        <v>0.00462099</v>
      </c>
      <c r="J62" s="15" t="n">
        <v>0.00457325</v>
      </c>
      <c r="K62" s="15" t="n">
        <v>0.00452713</v>
      </c>
      <c r="L62" s="15" t="n">
        <v>0.00448186</v>
      </c>
      <c r="M62" s="15" t="n">
        <v>0.00443704</v>
      </c>
      <c r="N62" s="15" t="n">
        <v>0.00439267</v>
      </c>
      <c r="O62" s="15" t="n">
        <v>0.00434874</v>
      </c>
      <c r="P62" s="15" t="n">
        <v>0.00430526</v>
      </c>
      <c r="Q62" s="15" t="n">
        <v>0.0042622</v>
      </c>
      <c r="R62" s="15" t="n">
        <v>0.00421958</v>
      </c>
      <c r="S62" s="15" t="n">
        <v>0.00417739</v>
      </c>
      <c r="T62" s="15" t="n">
        <v>0.00413561</v>
      </c>
      <c r="U62" s="15" t="n">
        <v>0.00409426</v>
      </c>
      <c r="V62" s="15" t="n">
        <v>0.00405331</v>
      </c>
      <c r="W62" s="15" t="n">
        <v>0.00401278</v>
      </c>
      <c r="X62" s="15" t="n">
        <v>0.00397265</v>
      </c>
      <c r="Y62" s="15" t="n">
        <v>0.00393293</v>
      </c>
      <c r="Z62" s="15" t="n">
        <v>0.0038936</v>
      </c>
      <c r="AA62" s="15" t="n">
        <v>0.00385466</v>
      </c>
      <c r="AB62" s="15" t="n">
        <v>0.00381611</v>
      </c>
      <c r="AC62" s="15" t="n">
        <v>0.00377795</v>
      </c>
      <c r="AD62" s="15" t="n">
        <v>0.00374017</v>
      </c>
      <c r="AE62" s="15" t="n">
        <v>0.00370277</v>
      </c>
      <c r="AF62" s="15" t="n">
        <v>0.00366574</v>
      </c>
      <c r="AG62" s="15" t="n">
        <v>0.00362909</v>
      </c>
      <c r="AH62" s="15" t="n">
        <v>0.0035928</v>
      </c>
      <c r="AI62" s="15" t="n">
        <v>0.00355687</v>
      </c>
      <c r="AJ62" s="15" t="n">
        <v>0.0035213</v>
      </c>
      <c r="AK62" s="15" t="n">
        <v>0.00348609</v>
      </c>
      <c r="AL62" s="15" t="n">
        <v>0.00345123</v>
      </c>
      <c r="AM62" s="15" t="n">
        <v>0.00341671</v>
      </c>
      <c r="AN62" s="15" t="n">
        <v>0.00338255</v>
      </c>
      <c r="AO62" s="15" t="n">
        <v>0.00334872</v>
      </c>
      <c r="AP62" s="15" t="n">
        <v>0.00331523</v>
      </c>
      <c r="AQ62" s="15" t="n">
        <v>0.00328208</v>
      </c>
      <c r="AR62" s="15" t="n">
        <v>0.00324926</v>
      </c>
      <c r="AS62" s="15" t="n">
        <v>0.00321677</v>
      </c>
      <c r="AT62" s="15" t="n">
        <v>0.0031846</v>
      </c>
      <c r="AU62" s="15" t="n">
        <v>0.00315275</v>
      </c>
      <c r="AV62" s="15" t="n">
        <v>0.00312123</v>
      </c>
      <c r="AW62" s="15" t="n">
        <v>0.00309001</v>
      </c>
      <c r="AX62" s="15" t="n">
        <v>0.00305911</v>
      </c>
      <c r="AY62" s="15" t="n">
        <v>0.00302852</v>
      </c>
      <c r="AZ62" s="15" t="n">
        <v>0.00299824</v>
      </c>
      <c r="BA62" s="15" t="n">
        <v>0.00296826</v>
      </c>
      <c r="BB62" s="15" t="n">
        <v>0.00293857</v>
      </c>
      <c r="BC62" s="15" t="n">
        <v>0.00290919</v>
      </c>
      <c r="BD62" s="15" t="n">
        <v>0.0028801</v>
      </c>
      <c r="BE62" s="15" t="n">
        <v>0.00285129</v>
      </c>
      <c r="BF62" s="15" t="n">
        <v>0.00282278</v>
      </c>
      <c r="BG62" s="15" t="n">
        <v>0.00279455</v>
      </c>
      <c r="BH62" s="15" t="n">
        <v>0.00276661</v>
      </c>
      <c r="BI62" s="15" t="n">
        <v>0.00273894</v>
      </c>
      <c r="BJ62" s="15" t="n">
        <v>0.00271155</v>
      </c>
      <c r="BK62" s="15" t="n">
        <v>0.00268444</v>
      </c>
      <c r="BL62" s="15" t="n">
        <v>0.00265759</v>
      </c>
      <c r="BM62" s="15" t="n">
        <v>0.00263102</v>
      </c>
      <c r="BN62" s="15" t="n">
        <v>0.00260471</v>
      </c>
      <c r="BO62" s="15" t="n">
        <v>0.00257866</v>
      </c>
      <c r="BP62" s="15" t="n">
        <v>0.00255287</v>
      </c>
      <c r="BQ62" s="15" t="n">
        <v>0.00252734</v>
      </c>
      <c r="BR62" s="15" t="n">
        <v>0.00250207</v>
      </c>
      <c r="BS62" s="15" t="n">
        <v>0.00247705</v>
      </c>
      <c r="BT62" s="15" t="n">
        <v>0.00245228</v>
      </c>
      <c r="BU62" s="15" t="n">
        <v>0.00242776</v>
      </c>
      <c r="BV62" s="15" t="n">
        <v>0.00240348</v>
      </c>
      <c r="BW62" s="15" t="n">
        <v>0.00237944</v>
      </c>
      <c r="BX62" s="15" t="n">
        <v>0.00235565</v>
      </c>
    </row>
    <row r="63">
      <c r="A63" t="n">
        <v>60</v>
      </c>
      <c r="B63" s="15" t="n">
        <v>0.0054637</v>
      </c>
      <c r="C63" s="15" t="n">
        <v>0.00538124</v>
      </c>
      <c r="D63" s="15" t="n">
        <v>0.00530474</v>
      </c>
      <c r="E63" s="15" t="n">
        <v>0.0052338</v>
      </c>
      <c r="F63" s="15" t="n">
        <v>0.00516792</v>
      </c>
      <c r="G63" s="15" t="n">
        <v>0.00510657</v>
      </c>
      <c r="H63" s="15" t="n">
        <v>0.00504914</v>
      </c>
      <c r="I63" s="15" t="n">
        <v>0.00499497</v>
      </c>
      <c r="J63" s="15" t="n">
        <v>0.00494335</v>
      </c>
      <c r="K63" s="15" t="n">
        <v>0.00489348</v>
      </c>
      <c r="L63" s="15" t="n">
        <v>0.00484455</v>
      </c>
      <c r="M63" s="15" t="n">
        <v>0.0047961</v>
      </c>
      <c r="N63" s="15" t="n">
        <v>0.00474814</v>
      </c>
      <c r="O63" s="15" t="n">
        <v>0.00470066</v>
      </c>
      <c r="P63" s="15" t="n">
        <v>0.00465366</v>
      </c>
      <c r="Q63" s="15" t="n">
        <v>0.00460712</v>
      </c>
      <c r="R63" s="15" t="n">
        <v>0.00456105</v>
      </c>
      <c r="S63" s="15" t="n">
        <v>0.00451544</v>
      </c>
      <c r="T63" s="15" t="n">
        <v>0.00447028</v>
      </c>
      <c r="U63" s="15" t="n">
        <v>0.00442558</v>
      </c>
      <c r="V63" s="15" t="n">
        <v>0.00438132</v>
      </c>
      <c r="W63" s="15" t="n">
        <v>0.00433751</v>
      </c>
      <c r="X63" s="15" t="n">
        <v>0.00429414</v>
      </c>
      <c r="Y63" s="15" t="n">
        <v>0.00425119</v>
      </c>
      <c r="Z63" s="15" t="n">
        <v>0.00420868</v>
      </c>
      <c r="AA63" s="15" t="n">
        <v>0.0041666</v>
      </c>
      <c r="AB63" s="15" t="n">
        <v>0.00412493</v>
      </c>
      <c r="AC63" s="15" t="n">
        <v>0.00408368</v>
      </c>
      <c r="AD63" s="15" t="n">
        <v>0.00404284</v>
      </c>
      <c r="AE63" s="15" t="n">
        <v>0.00400242</v>
      </c>
      <c r="AF63" s="15" t="n">
        <v>0.00396239</v>
      </c>
      <c r="AG63" s="15" t="n">
        <v>0.00392277</v>
      </c>
      <c r="AH63" s="15" t="n">
        <v>0.00388354</v>
      </c>
      <c r="AI63" s="15" t="n">
        <v>0.0038447</v>
      </c>
      <c r="AJ63" s="15" t="n">
        <v>0.00380626</v>
      </c>
      <c r="AK63" s="15" t="n">
        <v>0.00376819</v>
      </c>
      <c r="AL63" s="15" t="n">
        <v>0.00373051</v>
      </c>
      <c r="AM63" s="15" t="n">
        <v>0.00369321</v>
      </c>
      <c r="AN63" s="15" t="n">
        <v>0.00365628</v>
      </c>
      <c r="AO63" s="15" t="n">
        <v>0.00361971</v>
      </c>
      <c r="AP63" s="15" t="n">
        <v>0.00358352</v>
      </c>
      <c r="AQ63" s="15" t="n">
        <v>0.00354768</v>
      </c>
      <c r="AR63" s="15" t="n">
        <v>0.0035122</v>
      </c>
      <c r="AS63" s="15" t="n">
        <v>0.00347708</v>
      </c>
      <c r="AT63" s="15" t="n">
        <v>0.00344231</v>
      </c>
      <c r="AU63" s="15" t="n">
        <v>0.00340789</v>
      </c>
      <c r="AV63" s="15" t="n">
        <v>0.00337381</v>
      </c>
      <c r="AW63" s="15" t="n">
        <v>0.00334007</v>
      </c>
      <c r="AX63" s="15" t="n">
        <v>0.00330667</v>
      </c>
      <c r="AY63" s="15" t="n">
        <v>0.0032736</v>
      </c>
      <c r="AZ63" s="15" t="n">
        <v>0.00324087</v>
      </c>
      <c r="BA63" s="15" t="n">
        <v>0.00320846</v>
      </c>
      <c r="BB63" s="15" t="n">
        <v>0.00317637</v>
      </c>
      <c r="BC63" s="15" t="n">
        <v>0.00314461</v>
      </c>
      <c r="BD63" s="15" t="n">
        <v>0.00311316</v>
      </c>
      <c r="BE63" s="15" t="n">
        <v>0.00308203</v>
      </c>
      <c r="BF63" s="15" t="n">
        <v>0.00305121</v>
      </c>
      <c r="BG63" s="15" t="n">
        <v>0.0030207</v>
      </c>
      <c r="BH63" s="15" t="n">
        <v>0.00299049</v>
      </c>
      <c r="BI63" s="15" t="n">
        <v>0.00296059</v>
      </c>
      <c r="BJ63" s="15" t="n">
        <v>0.00293098</v>
      </c>
      <c r="BK63" s="15" t="n">
        <v>0.00290167</v>
      </c>
      <c r="BL63" s="15" t="n">
        <v>0.00287266</v>
      </c>
      <c r="BM63" s="15" t="n">
        <v>0.00284393</v>
      </c>
      <c r="BN63" s="15" t="n">
        <v>0.00281549</v>
      </c>
      <c r="BO63" s="15" t="n">
        <v>0.00278733</v>
      </c>
      <c r="BP63" s="15" t="n">
        <v>0.00275946</v>
      </c>
      <c r="BQ63" s="15" t="n">
        <v>0.00273187</v>
      </c>
      <c r="BR63" s="15" t="n">
        <v>0.00270455</v>
      </c>
      <c r="BS63" s="15" t="n">
        <v>0.0026775</v>
      </c>
      <c r="BT63" s="15" t="n">
        <v>0.00265073</v>
      </c>
      <c r="BU63" s="15" t="n">
        <v>0.00262422</v>
      </c>
      <c r="BV63" s="15" t="n">
        <v>0.00259798</v>
      </c>
      <c r="BW63" s="15" t="n">
        <v>0.002572</v>
      </c>
      <c r="BX63" s="15" t="n">
        <v>0.00254628</v>
      </c>
    </row>
    <row r="64">
      <c r="A64" t="n">
        <v>61</v>
      </c>
      <c r="B64" s="15" t="n">
        <v>0.00586721</v>
      </c>
      <c r="C64" s="15" t="n">
        <v>0.00577842</v>
      </c>
      <c r="D64" s="15" t="n">
        <v>0.00569608</v>
      </c>
      <c r="E64" s="15" t="n">
        <v>0.00561974</v>
      </c>
      <c r="F64" s="15" t="n">
        <v>0.00554888</v>
      </c>
      <c r="G64" s="15" t="n">
        <v>0.00548292</v>
      </c>
      <c r="H64" s="15" t="n">
        <v>0.00542121</v>
      </c>
      <c r="I64" s="15" t="n">
        <v>0.00536302</v>
      </c>
      <c r="J64" s="15" t="n">
        <v>0.00530757</v>
      </c>
      <c r="K64" s="15" t="n">
        <v>0.00525403</v>
      </c>
      <c r="L64" s="15" t="n">
        <v>0.00520149</v>
      </c>
      <c r="M64" s="15" t="n">
        <v>0.00514948</v>
      </c>
      <c r="N64" s="15" t="n">
        <v>0.00509798</v>
      </c>
      <c r="O64" s="15" t="n">
        <v>0.005047</v>
      </c>
      <c r="P64" s="15" t="n">
        <v>0.00499653</v>
      </c>
      <c r="Q64" s="15" t="n">
        <v>0.00494657</v>
      </c>
      <c r="R64" s="15" t="n">
        <v>0.0048971</v>
      </c>
      <c r="S64" s="15" t="n">
        <v>0.00484813</v>
      </c>
      <c r="T64" s="15" t="n">
        <v>0.00479965</v>
      </c>
      <c r="U64" s="15" t="n">
        <v>0.00475165</v>
      </c>
      <c r="V64" s="15" t="n">
        <v>0.00470413</v>
      </c>
      <c r="W64" s="15" t="n">
        <v>0.00465709</v>
      </c>
      <c r="X64" s="15" t="n">
        <v>0.00461052</v>
      </c>
      <c r="Y64" s="15" t="n">
        <v>0.00456442</v>
      </c>
      <c r="Z64" s="15" t="n">
        <v>0.00451877</v>
      </c>
      <c r="AA64" s="15" t="n">
        <v>0.00447359</v>
      </c>
      <c r="AB64" s="15" t="n">
        <v>0.00442885</v>
      </c>
      <c r="AC64" s="15" t="n">
        <v>0.00438456</v>
      </c>
      <c r="AD64" s="15" t="n">
        <v>0.00434072</v>
      </c>
      <c r="AE64" s="15" t="n">
        <v>0.00429731</v>
      </c>
      <c r="AF64" s="15" t="n">
        <v>0.00425433</v>
      </c>
      <c r="AG64" s="15" t="n">
        <v>0.00421179</v>
      </c>
      <c r="AH64" s="15" t="n">
        <v>0.00416967</v>
      </c>
      <c r="AI64" s="15" t="n">
        <v>0.00412798</v>
      </c>
      <c r="AJ64" s="15" t="n">
        <v>0.0040867</v>
      </c>
      <c r="AK64" s="15" t="n">
        <v>0.00404583</v>
      </c>
      <c r="AL64" s="15" t="n">
        <v>0.00400537</v>
      </c>
      <c r="AM64" s="15" t="n">
        <v>0.00396532</v>
      </c>
      <c r="AN64" s="15" t="n">
        <v>0.00392567</v>
      </c>
      <c r="AO64" s="15" t="n">
        <v>0.00388641</v>
      </c>
      <c r="AP64" s="15" t="n">
        <v>0.00384754</v>
      </c>
      <c r="AQ64" s="15" t="n">
        <v>0.00380907</v>
      </c>
      <c r="AR64" s="15" t="n">
        <v>0.00377098</v>
      </c>
      <c r="AS64" s="15" t="n">
        <v>0.00373327</v>
      </c>
      <c r="AT64" s="15" t="n">
        <v>0.00369594</v>
      </c>
      <c r="AU64" s="15" t="n">
        <v>0.00365898</v>
      </c>
      <c r="AV64" s="15" t="n">
        <v>0.00362239</v>
      </c>
      <c r="AW64" s="15" t="n">
        <v>0.00358616</v>
      </c>
      <c r="AX64" s="15" t="n">
        <v>0.0035503</v>
      </c>
      <c r="AY64" s="15" t="n">
        <v>0.0035148</v>
      </c>
      <c r="AZ64" s="15" t="n">
        <v>0.00347965</v>
      </c>
      <c r="BA64" s="15" t="n">
        <v>0.00344485</v>
      </c>
      <c r="BB64" s="15" t="n">
        <v>0.00341041</v>
      </c>
      <c r="BC64" s="15" t="n">
        <v>0.0033763</v>
      </c>
      <c r="BD64" s="15" t="n">
        <v>0.00334254</v>
      </c>
      <c r="BE64" s="15" t="n">
        <v>0.00330911</v>
      </c>
      <c r="BF64" s="15" t="n">
        <v>0.00327602</v>
      </c>
      <c r="BG64" s="15" t="n">
        <v>0.00324326</v>
      </c>
      <c r="BH64" s="15" t="n">
        <v>0.00321083</v>
      </c>
      <c r="BI64" s="15" t="n">
        <v>0.00317872</v>
      </c>
      <c r="BJ64" s="15" t="n">
        <v>0.00314693</v>
      </c>
      <c r="BK64" s="15" t="n">
        <v>0.00311546</v>
      </c>
      <c r="BL64" s="15" t="n">
        <v>0.00308431</v>
      </c>
      <c r="BM64" s="15" t="n">
        <v>0.00305347</v>
      </c>
      <c r="BN64" s="15" t="n">
        <v>0.00302293</v>
      </c>
      <c r="BO64" s="15" t="n">
        <v>0.0029927</v>
      </c>
      <c r="BP64" s="15" t="n">
        <v>0.00296278</v>
      </c>
      <c r="BQ64" s="15" t="n">
        <v>0.00293315</v>
      </c>
      <c r="BR64" s="15" t="n">
        <v>0.00290382</v>
      </c>
      <c r="BS64" s="15" t="n">
        <v>0.00287478</v>
      </c>
      <c r="BT64" s="15" t="n">
        <v>0.00284603</v>
      </c>
      <c r="BU64" s="15" t="n">
        <v>0.00281757</v>
      </c>
      <c r="BV64" s="15" t="n">
        <v>0.00278939</v>
      </c>
      <c r="BW64" s="15" t="n">
        <v>0.0027615</v>
      </c>
      <c r="BX64" s="15" t="n">
        <v>0.00273389</v>
      </c>
    </row>
    <row r="65">
      <c r="A65" t="n">
        <v>62</v>
      </c>
      <c r="B65" s="15" t="n">
        <v>0.00627172</v>
      </c>
      <c r="C65" s="15" t="n">
        <v>0.00617672</v>
      </c>
      <c r="D65" s="15" t="n">
        <v>0.00608864</v>
      </c>
      <c r="E65" s="15" t="n">
        <v>0.006007</v>
      </c>
      <c r="F65" s="15" t="n">
        <v>0.00593122</v>
      </c>
      <c r="G65" s="15" t="n">
        <v>0.00586069</v>
      </c>
      <c r="H65" s="15" t="n">
        <v>0.0057947</v>
      </c>
      <c r="I65" s="15" t="n">
        <v>0.0057325</v>
      </c>
      <c r="J65" s="15" t="n">
        <v>0.00567323</v>
      </c>
      <c r="K65" s="15" t="n">
        <v>0.005616</v>
      </c>
      <c r="L65" s="15" t="n">
        <v>0.00555984</v>
      </c>
      <c r="M65" s="15" t="n">
        <v>0.00550424</v>
      </c>
      <c r="N65" s="15" t="n">
        <v>0.0054492</v>
      </c>
      <c r="O65" s="15" t="n">
        <v>0.0053947</v>
      </c>
      <c r="P65" s="15" t="n">
        <v>0.00534076</v>
      </c>
      <c r="Q65" s="15" t="n">
        <v>0.00528735</v>
      </c>
      <c r="R65" s="15" t="n">
        <v>0.00523448</v>
      </c>
      <c r="S65" s="15" t="n">
        <v>0.00518213</v>
      </c>
      <c r="T65" s="15" t="n">
        <v>0.00513031</v>
      </c>
      <c r="U65" s="15" t="n">
        <v>0.00507901</v>
      </c>
      <c r="V65" s="15" t="n">
        <v>0.00502822</v>
      </c>
      <c r="W65" s="15" t="n">
        <v>0.00497794</v>
      </c>
      <c r="X65" s="15" t="n">
        <v>0.00492816</v>
      </c>
      <c r="Y65" s="15" t="n">
        <v>0.00487887</v>
      </c>
      <c r="Z65" s="15" t="n">
        <v>0.00483009</v>
      </c>
      <c r="AA65" s="15" t="n">
        <v>0.00478178</v>
      </c>
      <c r="AB65" s="15" t="n">
        <v>0.00473397</v>
      </c>
      <c r="AC65" s="15" t="n">
        <v>0.00468663</v>
      </c>
      <c r="AD65" s="15" t="n">
        <v>0.00463976</v>
      </c>
      <c r="AE65" s="15" t="n">
        <v>0.00459336</v>
      </c>
      <c r="AF65" s="15" t="n">
        <v>0.00454743</v>
      </c>
      <c r="AG65" s="15" t="n">
        <v>0.00450196</v>
      </c>
      <c r="AH65" s="15" t="n">
        <v>0.00445694</v>
      </c>
      <c r="AI65" s="15" t="n">
        <v>0.00441237</v>
      </c>
      <c r="AJ65" s="15" t="n">
        <v>0.00436824</v>
      </c>
      <c r="AK65" s="15" t="n">
        <v>0.00432456</v>
      </c>
      <c r="AL65" s="15" t="n">
        <v>0.00428131</v>
      </c>
      <c r="AM65" s="15" t="n">
        <v>0.0042385</v>
      </c>
      <c r="AN65" s="15" t="n">
        <v>0.00419612</v>
      </c>
      <c r="AO65" s="15" t="n">
        <v>0.00415416</v>
      </c>
      <c r="AP65" s="15" t="n">
        <v>0.00411261</v>
      </c>
      <c r="AQ65" s="15" t="n">
        <v>0.00407149</v>
      </c>
      <c r="AR65" s="15" t="n">
        <v>0.00403077</v>
      </c>
      <c r="AS65" s="15" t="n">
        <v>0.00399047</v>
      </c>
      <c r="AT65" s="15" t="n">
        <v>0.00395056</v>
      </c>
      <c r="AU65" s="15" t="n">
        <v>0.00391105</v>
      </c>
      <c r="AV65" s="15" t="n">
        <v>0.00387194</v>
      </c>
      <c r="AW65" s="15" t="n">
        <v>0.00383322</v>
      </c>
      <c r="AX65" s="15" t="n">
        <v>0.00379489</v>
      </c>
      <c r="AY65" s="15" t="n">
        <v>0.00375694</v>
      </c>
      <c r="AZ65" s="15" t="n">
        <v>0.00371937</v>
      </c>
      <c r="BA65" s="15" t="n">
        <v>0.00368218</v>
      </c>
      <c r="BB65" s="15" t="n">
        <v>0.00364536</v>
      </c>
      <c r="BC65" s="15" t="n">
        <v>0.00360891</v>
      </c>
      <c r="BD65" s="15" t="n">
        <v>0.00357282</v>
      </c>
      <c r="BE65" s="15" t="n">
        <v>0.00353709</v>
      </c>
      <c r="BF65" s="15" t="n">
        <v>0.00350172</v>
      </c>
      <c r="BG65" s="15" t="n">
        <v>0.0034667</v>
      </c>
      <c r="BH65" s="15" t="n">
        <v>0.00343203</v>
      </c>
      <c r="BI65" s="15" t="n">
        <v>0.00339771</v>
      </c>
      <c r="BJ65" s="15" t="n">
        <v>0.00336374</v>
      </c>
      <c r="BK65" s="15" t="n">
        <v>0.0033301</v>
      </c>
      <c r="BL65" s="15" t="n">
        <v>0.0032968</v>
      </c>
      <c r="BM65" s="15" t="n">
        <v>0.00326383</v>
      </c>
      <c r="BN65" s="15" t="n">
        <v>0.00323119</v>
      </c>
      <c r="BO65" s="15" t="n">
        <v>0.00319888</v>
      </c>
      <c r="BP65" s="15" t="n">
        <v>0.00316689</v>
      </c>
      <c r="BQ65" s="15" t="n">
        <v>0.00313522</v>
      </c>
      <c r="BR65" s="15" t="n">
        <v>0.00310387</v>
      </c>
      <c r="BS65" s="15" t="n">
        <v>0.00307283</v>
      </c>
      <c r="BT65" s="15" t="n">
        <v>0.0030421</v>
      </c>
      <c r="BU65" s="15" t="n">
        <v>0.00301168</v>
      </c>
      <c r="BV65" s="15" t="n">
        <v>0.00298156</v>
      </c>
      <c r="BW65" s="15" t="n">
        <v>0.00295175</v>
      </c>
      <c r="BX65" s="15" t="n">
        <v>0.00292223</v>
      </c>
    </row>
    <row r="66">
      <c r="A66" t="n">
        <v>63</v>
      </c>
      <c r="B66" s="15" t="n">
        <v>0.00670859</v>
      </c>
      <c r="C66" s="15" t="n">
        <v>0.00660702</v>
      </c>
      <c r="D66" s="15" t="n">
        <v>0.00651283</v>
      </c>
      <c r="E66" s="15" t="n">
        <v>0.00642552</v>
      </c>
      <c r="F66" s="15" t="n">
        <v>0.00634448</v>
      </c>
      <c r="G66" s="15" t="n">
        <v>0.00626905</v>
      </c>
      <c r="H66" s="15" t="n">
        <v>0.00619848</v>
      </c>
      <c r="I66" s="15" t="n">
        <v>0.00613194</v>
      </c>
      <c r="J66" s="15" t="n">
        <v>0.00606854</v>
      </c>
      <c r="K66" s="15" t="n">
        <v>0.00600733</v>
      </c>
      <c r="L66" s="15" t="n">
        <v>0.00594725</v>
      </c>
      <c r="M66" s="15" t="n">
        <v>0.00588778</v>
      </c>
      <c r="N66" s="15" t="n">
        <v>0.0058289</v>
      </c>
      <c r="O66" s="15" t="n">
        <v>0.00577061</v>
      </c>
      <c r="P66" s="15" t="n">
        <v>0.00571291</v>
      </c>
      <c r="Q66" s="15" t="n">
        <v>0.00565578</v>
      </c>
      <c r="R66" s="15" t="n">
        <v>0.00559922</v>
      </c>
      <c r="S66" s="15" t="n">
        <v>0.00554323</v>
      </c>
      <c r="T66" s="15" t="n">
        <v>0.0054878</v>
      </c>
      <c r="U66" s="15" t="n">
        <v>0.00543292</v>
      </c>
      <c r="V66" s="15" t="n">
        <v>0.00537859</v>
      </c>
      <c r="W66" s="15" t="n">
        <v>0.0053248</v>
      </c>
      <c r="X66" s="15" t="n">
        <v>0.00527155</v>
      </c>
      <c r="Y66" s="15" t="n">
        <v>0.00521884</v>
      </c>
      <c r="Z66" s="15" t="n">
        <v>0.00516665</v>
      </c>
      <c r="AA66" s="15" t="n">
        <v>0.00511498</v>
      </c>
      <c r="AB66" s="15" t="n">
        <v>0.00506383</v>
      </c>
      <c r="AC66" s="15" t="n">
        <v>0.0050132</v>
      </c>
      <c r="AD66" s="15" t="n">
        <v>0.00496306</v>
      </c>
      <c r="AE66" s="15" t="n">
        <v>0.00491343</v>
      </c>
      <c r="AF66" s="15" t="n">
        <v>0.0048643</v>
      </c>
      <c r="AG66" s="15" t="n">
        <v>0.00481566</v>
      </c>
      <c r="AH66" s="15" t="n">
        <v>0.0047675</v>
      </c>
      <c r="AI66" s="15" t="n">
        <v>0.00471982</v>
      </c>
      <c r="AJ66" s="15" t="n">
        <v>0.00467263</v>
      </c>
      <c r="AK66" s="15" t="n">
        <v>0.0046259</v>
      </c>
      <c r="AL66" s="15" t="n">
        <v>0.00457964</v>
      </c>
      <c r="AM66" s="15" t="n">
        <v>0.00453384</v>
      </c>
      <c r="AN66" s="15" t="n">
        <v>0.00448851</v>
      </c>
      <c r="AO66" s="15" t="n">
        <v>0.00444362</v>
      </c>
      <c r="AP66" s="15" t="n">
        <v>0.00439918</v>
      </c>
      <c r="AQ66" s="15" t="n">
        <v>0.00435519</v>
      </c>
      <c r="AR66" s="15" t="n">
        <v>0.00431164</v>
      </c>
      <c r="AS66" s="15" t="n">
        <v>0.00426852</v>
      </c>
      <c r="AT66" s="15" t="n">
        <v>0.00422584</v>
      </c>
      <c r="AU66" s="15" t="n">
        <v>0.00418358</v>
      </c>
      <c r="AV66" s="15" t="n">
        <v>0.00414175</v>
      </c>
      <c r="AW66" s="15" t="n">
        <v>0.00410033</v>
      </c>
      <c r="AX66" s="15" t="n">
        <v>0.00405932</v>
      </c>
      <c r="AY66" s="15" t="n">
        <v>0.00401873</v>
      </c>
      <c r="AZ66" s="15" t="n">
        <v>0.00397854</v>
      </c>
      <c r="BA66" s="15" t="n">
        <v>0.00393876</v>
      </c>
      <c r="BB66" s="15" t="n">
        <v>0.00389937</v>
      </c>
      <c r="BC66" s="15" t="n">
        <v>0.00386038</v>
      </c>
      <c r="BD66" s="15" t="n">
        <v>0.00382177</v>
      </c>
      <c r="BE66" s="15" t="n">
        <v>0.00378356</v>
      </c>
      <c r="BF66" s="15" t="n">
        <v>0.00374572</v>
      </c>
      <c r="BG66" s="15" t="n">
        <v>0.00370826</v>
      </c>
      <c r="BH66" s="15" t="n">
        <v>0.00367118</v>
      </c>
      <c r="BI66" s="15" t="n">
        <v>0.00363447</v>
      </c>
      <c r="BJ66" s="15" t="n">
        <v>0.00359812</v>
      </c>
      <c r="BK66" s="15" t="n">
        <v>0.00356214</v>
      </c>
      <c r="BL66" s="15" t="n">
        <v>0.00352652</v>
      </c>
      <c r="BM66" s="15" t="n">
        <v>0.00349126</v>
      </c>
      <c r="BN66" s="15" t="n">
        <v>0.00345634</v>
      </c>
      <c r="BO66" s="15" t="n">
        <v>0.00342178</v>
      </c>
      <c r="BP66" s="15" t="n">
        <v>0.00338756</v>
      </c>
      <c r="BQ66" s="15" t="n">
        <v>0.00335369</v>
      </c>
      <c r="BR66" s="15" t="n">
        <v>0.00332015</v>
      </c>
      <c r="BS66" s="15" t="n">
        <v>0.00328695</v>
      </c>
      <c r="BT66" s="15" t="n">
        <v>0.00325408</v>
      </c>
      <c r="BU66" s="15" t="n">
        <v>0.00322154</v>
      </c>
      <c r="BV66" s="15" t="n">
        <v>0.00318932</v>
      </c>
      <c r="BW66" s="15" t="n">
        <v>0.00315743</v>
      </c>
      <c r="BX66" s="15" t="n">
        <v>0.00312585</v>
      </c>
    </row>
    <row r="67">
      <c r="A67" t="n">
        <v>64</v>
      </c>
      <c r="B67" s="15" t="n">
        <v>0.00724029</v>
      </c>
      <c r="C67" s="15" t="n">
        <v>0.00713077</v>
      </c>
      <c r="D67" s="15" t="n">
        <v>0.0070292</v>
      </c>
      <c r="E67" s="15" t="n">
        <v>0.00693502</v>
      </c>
      <c r="F67" s="15" t="n">
        <v>0.00684761</v>
      </c>
      <c r="G67" s="15" t="n">
        <v>0.00676623</v>
      </c>
      <c r="H67" s="15" t="n">
        <v>0.00669008</v>
      </c>
      <c r="I67" s="15" t="n">
        <v>0.00661828</v>
      </c>
      <c r="J67" s="15" t="n">
        <v>0.00654986</v>
      </c>
      <c r="K67" s="15" t="n">
        <v>0.00648379</v>
      </c>
      <c r="L67" s="15" t="n">
        <v>0.00641895</v>
      </c>
      <c r="M67" s="15" t="n">
        <v>0.00635476</v>
      </c>
      <c r="N67" s="15" t="n">
        <v>0.00629122</v>
      </c>
      <c r="O67" s="15" t="n">
        <v>0.0062283</v>
      </c>
      <c r="P67" s="15" t="n">
        <v>0.00616602</v>
      </c>
      <c r="Q67" s="15" t="n">
        <v>0.00610436</v>
      </c>
      <c r="R67" s="15" t="n">
        <v>0.00604332</v>
      </c>
      <c r="S67" s="15" t="n">
        <v>0.00598288</v>
      </c>
      <c r="T67" s="15" t="n">
        <v>0.00592305</v>
      </c>
      <c r="U67" s="15" t="n">
        <v>0.00586382</v>
      </c>
      <c r="V67" s="15" t="n">
        <v>0.00580519</v>
      </c>
      <c r="W67" s="15" t="n">
        <v>0.00574713</v>
      </c>
      <c r="X67" s="15" t="n">
        <v>0.00568966</v>
      </c>
      <c r="Y67" s="15" t="n">
        <v>0.00563277</v>
      </c>
      <c r="Z67" s="15" t="n">
        <v>0.00557644</v>
      </c>
      <c r="AA67" s="15" t="n">
        <v>0.00552067</v>
      </c>
      <c r="AB67" s="15" t="n">
        <v>0.00546547</v>
      </c>
      <c r="AC67" s="15" t="n">
        <v>0.00541081</v>
      </c>
      <c r="AD67" s="15" t="n">
        <v>0.0053567</v>
      </c>
      <c r="AE67" s="15" t="n">
        <v>0.00530314</v>
      </c>
      <c r="AF67" s="15" t="n">
        <v>0.00525011</v>
      </c>
      <c r="AG67" s="15" t="n">
        <v>0.0051976</v>
      </c>
      <c r="AH67" s="15" t="n">
        <v>0.00514563</v>
      </c>
      <c r="AI67" s="15" t="n">
        <v>0.00509417</v>
      </c>
      <c r="AJ67" s="15" t="n">
        <v>0.00504323</v>
      </c>
      <c r="AK67" s="15" t="n">
        <v>0.0049928</v>
      </c>
      <c r="AL67" s="15" t="n">
        <v>0.00494287</v>
      </c>
      <c r="AM67" s="15" t="n">
        <v>0.00489344</v>
      </c>
      <c r="AN67" s="15" t="n">
        <v>0.00484451</v>
      </c>
      <c r="AO67" s="15" t="n">
        <v>0.00479606</v>
      </c>
      <c r="AP67" s="15" t="n">
        <v>0.0047481</v>
      </c>
      <c r="AQ67" s="15" t="n">
        <v>0.00470062</v>
      </c>
      <c r="AR67" s="15" t="n">
        <v>0.00465361</v>
      </c>
      <c r="AS67" s="15" t="n">
        <v>0.00460708</v>
      </c>
      <c r="AT67" s="15" t="n">
        <v>0.00456101</v>
      </c>
      <c r="AU67" s="15" t="n">
        <v>0.0045154</v>
      </c>
      <c r="AV67" s="15" t="n">
        <v>0.00447024</v>
      </c>
      <c r="AW67" s="15" t="n">
        <v>0.00442554</v>
      </c>
      <c r="AX67" s="15" t="n">
        <v>0.00438129</v>
      </c>
      <c r="AY67" s="15" t="n">
        <v>0.00433747</v>
      </c>
      <c r="AZ67" s="15" t="n">
        <v>0.0042941</v>
      </c>
      <c r="BA67" s="15" t="n">
        <v>0.00425116</v>
      </c>
      <c r="BB67" s="15" t="n">
        <v>0.00420865</v>
      </c>
      <c r="BC67" s="15" t="n">
        <v>0.00416656</v>
      </c>
      <c r="BD67" s="15" t="n">
        <v>0.00412489</v>
      </c>
      <c r="BE67" s="15" t="n">
        <v>0.00408364</v>
      </c>
      <c r="BF67" s="15" t="n">
        <v>0.00404281</v>
      </c>
      <c r="BG67" s="15" t="n">
        <v>0.00400238</v>
      </c>
      <c r="BH67" s="15" t="n">
        <v>0.00396236</v>
      </c>
      <c r="BI67" s="15" t="n">
        <v>0.00392273</v>
      </c>
      <c r="BJ67" s="15" t="n">
        <v>0.00388351</v>
      </c>
      <c r="BK67" s="15" t="n">
        <v>0.00384467</v>
      </c>
      <c r="BL67" s="15" t="n">
        <v>0.00380622</v>
      </c>
      <c r="BM67" s="15" t="n">
        <v>0.00376816</v>
      </c>
      <c r="BN67" s="15" t="n">
        <v>0.00373048</v>
      </c>
      <c r="BO67" s="15" t="n">
        <v>0.00369317</v>
      </c>
      <c r="BP67" s="15" t="n">
        <v>0.00365624</v>
      </c>
      <c r="BQ67" s="15" t="n">
        <v>0.00361968</v>
      </c>
      <c r="BR67" s="15" t="n">
        <v>0.00358348</v>
      </c>
      <c r="BS67" s="15" t="n">
        <v>0.00354765</v>
      </c>
      <c r="BT67" s="15" t="n">
        <v>0.00351217</v>
      </c>
      <c r="BU67" s="15" t="n">
        <v>0.00347705</v>
      </c>
      <c r="BV67" s="15" t="n">
        <v>0.00344228</v>
      </c>
      <c r="BW67" s="15" t="n">
        <v>0.00340786</v>
      </c>
      <c r="BX67" s="15" t="n">
        <v>0.00337378</v>
      </c>
    </row>
    <row r="68">
      <c r="A68" t="n">
        <v>65</v>
      </c>
      <c r="B68" s="15" t="n">
        <v>0.007949909999999999</v>
      </c>
      <c r="C68" s="15" t="n">
        <v>0.00782976</v>
      </c>
      <c r="D68" s="15" t="n">
        <v>0.00771831</v>
      </c>
      <c r="E68" s="15" t="n">
        <v>0.00761497</v>
      </c>
      <c r="F68" s="15" t="n">
        <v>0.00751903</v>
      </c>
      <c r="G68" s="15" t="n">
        <v>0.00742971</v>
      </c>
      <c r="H68" s="15" t="n">
        <v>0.00734612</v>
      </c>
      <c r="I68" s="15" t="n">
        <v>0.00726729</v>
      </c>
      <c r="J68" s="15" t="n">
        <v>0.00719217</v>
      </c>
      <c r="K68" s="15" t="n">
        <v>0.00711962</v>
      </c>
      <c r="L68" s="15" t="n">
        <v>0.00704843</v>
      </c>
      <c r="M68" s="15" t="n">
        <v>0.00697794</v>
      </c>
      <c r="N68" s="15" t="n">
        <v>0.00690816</v>
      </c>
      <c r="O68" s="15" t="n">
        <v>0.00683908</v>
      </c>
      <c r="P68" s="15" t="n">
        <v>0.00677069</v>
      </c>
      <c r="Q68" s="15" t="n">
        <v>0.00670298</v>
      </c>
      <c r="R68" s="15" t="n">
        <v>0.00663595</v>
      </c>
      <c r="S68" s="15" t="n">
        <v>0.00656959</v>
      </c>
      <c r="T68" s="15" t="n">
        <v>0.0065039</v>
      </c>
      <c r="U68" s="15" t="n">
        <v>0.00643886</v>
      </c>
      <c r="V68" s="15" t="n">
        <v>0.00637447</v>
      </c>
      <c r="W68" s="15" t="n">
        <v>0.00631073</v>
      </c>
      <c r="X68" s="15" t="n">
        <v>0.00624762</v>
      </c>
      <c r="Y68" s="15" t="n">
        <v>0.00618514</v>
      </c>
      <c r="Z68" s="15" t="n">
        <v>0.00612329</v>
      </c>
      <c r="AA68" s="15" t="n">
        <v>0.00606206</v>
      </c>
      <c r="AB68" s="15" t="n">
        <v>0.00600144</v>
      </c>
      <c r="AC68" s="15" t="n">
        <v>0.00594142</v>
      </c>
      <c r="AD68" s="15" t="n">
        <v>0.00588201</v>
      </c>
      <c r="AE68" s="15" t="n">
        <v>0.00582319</v>
      </c>
      <c r="AF68" s="15" t="n">
        <v>0.00576496</v>
      </c>
      <c r="AG68" s="15" t="n">
        <v>0.00570731</v>
      </c>
      <c r="AH68" s="15" t="n">
        <v>0.00565023</v>
      </c>
      <c r="AI68" s="15" t="n">
        <v>0.00559373</v>
      </c>
      <c r="AJ68" s="15" t="n">
        <v>0.00553779</v>
      </c>
      <c r="AK68" s="15" t="n">
        <v>0.00548242</v>
      </c>
      <c r="AL68" s="15" t="n">
        <v>0.00542759</v>
      </c>
      <c r="AM68" s="15" t="n">
        <v>0.00537332</v>
      </c>
      <c r="AN68" s="15" t="n">
        <v>0.00531958</v>
      </c>
      <c r="AO68" s="15" t="n">
        <v>0.00526639</v>
      </c>
      <c r="AP68" s="15" t="n">
        <v>0.00521372</v>
      </c>
      <c r="AQ68" s="15" t="n">
        <v>0.00516159</v>
      </c>
      <c r="AR68" s="15" t="n">
        <v>0.00510997</v>
      </c>
      <c r="AS68" s="15" t="n">
        <v>0.00505887</v>
      </c>
      <c r="AT68" s="15" t="n">
        <v>0.00500828</v>
      </c>
      <c r="AU68" s="15" t="n">
        <v>0.0049582</v>
      </c>
      <c r="AV68" s="15" t="n">
        <v>0.00490862</v>
      </c>
      <c r="AW68" s="15" t="n">
        <v>0.00485953</v>
      </c>
      <c r="AX68" s="15" t="n">
        <v>0.00481094</v>
      </c>
      <c r="AY68" s="15" t="n">
        <v>0.00476283</v>
      </c>
      <c r="AZ68" s="15" t="n">
        <v>0.0047152</v>
      </c>
      <c r="BA68" s="15" t="n">
        <v>0.00466805</v>
      </c>
      <c r="BB68" s="15" t="n">
        <v>0.00462137</v>
      </c>
      <c r="BC68" s="15" t="n">
        <v>0.00457515</v>
      </c>
      <c r="BD68" s="15" t="n">
        <v>0.0045294</v>
      </c>
      <c r="BE68" s="15" t="n">
        <v>0.00448411</v>
      </c>
      <c r="BF68" s="15" t="n">
        <v>0.00443927</v>
      </c>
      <c r="BG68" s="15" t="n">
        <v>0.00439487</v>
      </c>
      <c r="BH68" s="15" t="n">
        <v>0.00435092</v>
      </c>
      <c r="BI68" s="15" t="n">
        <v>0.00430741</v>
      </c>
      <c r="BJ68" s="15" t="n">
        <v>0.00426434</v>
      </c>
      <c r="BK68" s="15" t="n">
        <v>0.0042217</v>
      </c>
      <c r="BL68" s="15" t="n">
        <v>0.00417948</v>
      </c>
      <c r="BM68" s="15" t="n">
        <v>0.00413769</v>
      </c>
      <c r="BN68" s="15" t="n">
        <v>0.00409631</v>
      </c>
      <c r="BO68" s="15" t="n">
        <v>0.00405535</v>
      </c>
      <c r="BP68" s="15" t="n">
        <v>0.00401479</v>
      </c>
      <c r="BQ68" s="15" t="n">
        <v>0.00397464</v>
      </c>
      <c r="BR68" s="15" t="n">
        <v>0.0039349</v>
      </c>
      <c r="BS68" s="15" t="n">
        <v>0.00389555</v>
      </c>
      <c r="BT68" s="15" t="n">
        <v>0.00385659</v>
      </c>
      <c r="BU68" s="15" t="n">
        <v>0.00381803</v>
      </c>
      <c r="BV68" s="15" t="n">
        <v>0.00377985</v>
      </c>
      <c r="BW68" s="15" t="n">
        <v>0.00374205</v>
      </c>
      <c r="BX68" s="15" t="n">
        <v>0.00370463</v>
      </c>
    </row>
    <row r="69">
      <c r="A69" t="n">
        <v>66</v>
      </c>
      <c r="B69" s="15" t="n">
        <v>0.00890824</v>
      </c>
      <c r="C69" s="15" t="n">
        <v>0.008773690000000001</v>
      </c>
      <c r="D69" s="15" t="n">
        <v>0.008648889999999999</v>
      </c>
      <c r="E69" s="15" t="n">
        <v>0.00853315</v>
      </c>
      <c r="F69" s="15" t="n">
        <v>0.00842569</v>
      </c>
      <c r="G69" s="15" t="n">
        <v>0.008325630000000001</v>
      </c>
      <c r="H69" s="15" t="n">
        <v>0.00823198</v>
      </c>
      <c r="I69" s="15" t="n">
        <v>0.00814366</v>
      </c>
      <c r="J69" s="15" t="n">
        <v>0.008059490000000001</v>
      </c>
      <c r="K69" s="15" t="n">
        <v>0.00797819</v>
      </c>
      <c r="L69" s="15" t="n">
        <v>0.00789841</v>
      </c>
      <c r="M69" s="15" t="n">
        <v>0.00781943</v>
      </c>
      <c r="N69" s="15" t="n">
        <v>0.00774123</v>
      </c>
      <c r="O69" s="15" t="n">
        <v>0.00766382</v>
      </c>
      <c r="P69" s="15" t="n">
        <v>0.00758718</v>
      </c>
      <c r="Q69" s="15" t="n">
        <v>0.00751131</v>
      </c>
      <c r="R69" s="15" t="n">
        <v>0.0074362</v>
      </c>
      <c r="S69" s="15" t="n">
        <v>0.00736183</v>
      </c>
      <c r="T69" s="15" t="n">
        <v>0.00728822</v>
      </c>
      <c r="U69" s="15" t="n">
        <v>0.00721533</v>
      </c>
      <c r="V69" s="15" t="n">
        <v>0.00714318</v>
      </c>
      <c r="W69" s="15" t="n">
        <v>0.00707175</v>
      </c>
      <c r="X69" s="15" t="n">
        <v>0.00700103</v>
      </c>
      <c r="Y69" s="15" t="n">
        <v>0.00693102</v>
      </c>
      <c r="Z69" s="15" t="n">
        <v>0.00686171</v>
      </c>
      <c r="AA69" s="15" t="n">
        <v>0.00679309</v>
      </c>
      <c r="AB69" s="15" t="n">
        <v>0.00672516</v>
      </c>
      <c r="AC69" s="15" t="n">
        <v>0.00665791</v>
      </c>
      <c r="AD69" s="15" t="n">
        <v>0.00659133</v>
      </c>
      <c r="AE69" s="15" t="n">
        <v>0.00652542</v>
      </c>
      <c r="AF69" s="15" t="n">
        <v>0.00646016</v>
      </c>
      <c r="AG69" s="15" t="n">
        <v>0.00639556</v>
      </c>
      <c r="AH69" s="15" t="n">
        <v>0.00633161</v>
      </c>
      <c r="AI69" s="15" t="n">
        <v>0.00626829</v>
      </c>
      <c r="AJ69" s="15" t="n">
        <v>0.00620561</v>
      </c>
      <c r="AK69" s="15" t="n">
        <v>0.00614355</v>
      </c>
      <c r="AL69" s="15" t="n">
        <v>0.00608212</v>
      </c>
      <c r="AM69" s="15" t="n">
        <v>0.00602129</v>
      </c>
      <c r="AN69" s="15" t="n">
        <v>0.00596108</v>
      </c>
      <c r="AO69" s="15" t="n">
        <v>0.00590147</v>
      </c>
      <c r="AP69" s="15" t="n">
        <v>0.00584246</v>
      </c>
      <c r="AQ69" s="15" t="n">
        <v>0.00578403</v>
      </c>
      <c r="AR69" s="15" t="n">
        <v>0.00572619</v>
      </c>
      <c r="AS69" s="15" t="n">
        <v>0.00566893</v>
      </c>
      <c r="AT69" s="15" t="n">
        <v>0.00561224</v>
      </c>
      <c r="AU69" s="15" t="n">
        <v>0.00555612</v>
      </c>
      <c r="AV69" s="15" t="n">
        <v>0.00550056</v>
      </c>
      <c r="AW69" s="15" t="n">
        <v>0.00544555</v>
      </c>
      <c r="AX69" s="15" t="n">
        <v>0.0053911</v>
      </c>
      <c r="AY69" s="15" t="n">
        <v>0.00533718</v>
      </c>
      <c r="AZ69" s="15" t="n">
        <v>0.00528381</v>
      </c>
      <c r="BA69" s="15" t="n">
        <v>0.00523097</v>
      </c>
      <c r="BB69" s="15" t="n">
        <v>0.00517867</v>
      </c>
      <c r="BC69" s="15" t="n">
        <v>0.00512688</v>
      </c>
      <c r="BD69" s="15" t="n">
        <v>0.00507561</v>
      </c>
      <c r="BE69" s="15" t="n">
        <v>0.00502485</v>
      </c>
      <c r="BF69" s="15" t="n">
        <v>0.00497461</v>
      </c>
      <c r="BG69" s="15" t="n">
        <v>0.00492486</v>
      </c>
      <c r="BH69" s="15" t="n">
        <v>0.00487561</v>
      </c>
      <c r="BI69" s="15" t="n">
        <v>0.00482685</v>
      </c>
      <c r="BJ69" s="15" t="n">
        <v>0.00477859</v>
      </c>
      <c r="BK69" s="15" t="n">
        <v>0.0047308</v>
      </c>
      <c r="BL69" s="15" t="n">
        <v>0.00468349</v>
      </c>
      <c r="BM69" s="15" t="n">
        <v>0.00463666</v>
      </c>
      <c r="BN69" s="15" t="n">
        <v>0.00459029</v>
      </c>
      <c r="BO69" s="15" t="n">
        <v>0.00454439</v>
      </c>
      <c r="BP69" s="15" t="n">
        <v>0.00449894</v>
      </c>
      <c r="BQ69" s="15" t="n">
        <v>0.00445395</v>
      </c>
      <c r="BR69" s="15" t="n">
        <v>0.00440941</v>
      </c>
      <c r="BS69" s="15" t="n">
        <v>0.00436532</v>
      </c>
      <c r="BT69" s="15" t="n">
        <v>0.00432167</v>
      </c>
      <c r="BU69" s="15" t="n">
        <v>0.00427845</v>
      </c>
      <c r="BV69" s="15" t="n">
        <v>0.00423567</v>
      </c>
      <c r="BW69" s="15" t="n">
        <v>0.00419331</v>
      </c>
      <c r="BX69" s="15" t="n">
        <v>0.00415138</v>
      </c>
    </row>
    <row r="70">
      <c r="A70" t="n">
        <v>67</v>
      </c>
      <c r="B70" s="15" t="n">
        <v>0.01012819</v>
      </c>
      <c r="C70" s="15" t="n">
        <v>0.009975329999999999</v>
      </c>
      <c r="D70" s="15" t="n">
        <v>0.00983352</v>
      </c>
      <c r="E70" s="15" t="n">
        <v>0.009701990000000001</v>
      </c>
      <c r="F70" s="15" t="n">
        <v>0.009579880000000001</v>
      </c>
      <c r="G70" s="15" t="n">
        <v>0.00946614</v>
      </c>
      <c r="H70" s="15" t="n">
        <v>0.00935969</v>
      </c>
      <c r="I70" s="15" t="n">
        <v>0.00925928</v>
      </c>
      <c r="J70" s="15" t="n">
        <v>0.009163579999999999</v>
      </c>
      <c r="K70" s="15" t="n">
        <v>0.00907115</v>
      </c>
      <c r="L70" s="15" t="n">
        <v>0.008980439999999999</v>
      </c>
      <c r="M70" s="15" t="n">
        <v>0.00889063</v>
      </c>
      <c r="N70" s="15" t="n">
        <v>0.008801730000000001</v>
      </c>
      <c r="O70" s="15" t="n">
        <v>0.00871371</v>
      </c>
      <c r="P70" s="15" t="n">
        <v>0.00862657</v>
      </c>
      <c r="Q70" s="15" t="n">
        <v>0.008540310000000001</v>
      </c>
      <c r="R70" s="15" t="n">
        <v>0.0084549</v>
      </c>
      <c r="S70" s="15" t="n">
        <v>0.00837035</v>
      </c>
      <c r="T70" s="15" t="n">
        <v>0.00828665</v>
      </c>
      <c r="U70" s="15" t="n">
        <v>0.008203780000000001</v>
      </c>
      <c r="V70" s="15" t="n">
        <v>0.00812175</v>
      </c>
      <c r="W70" s="15" t="n">
        <v>0.008040530000000001</v>
      </c>
      <c r="X70" s="15" t="n">
        <v>0.007960119999999999</v>
      </c>
      <c r="Y70" s="15" t="n">
        <v>0.00788052</v>
      </c>
      <c r="Z70" s="15" t="n">
        <v>0.00780172</v>
      </c>
      <c r="AA70" s="15" t="n">
        <v>0.0077237</v>
      </c>
      <c r="AB70" s="15" t="n">
        <v>0.00764646</v>
      </c>
      <c r="AC70" s="15" t="n">
        <v>0.00757</v>
      </c>
      <c r="AD70" s="15" t="n">
        <v>0.0074943</v>
      </c>
      <c r="AE70" s="15" t="n">
        <v>0.00741936</v>
      </c>
      <c r="AF70" s="15" t="n">
        <v>0.00734516</v>
      </c>
      <c r="AG70" s="15" t="n">
        <v>0.00727171</v>
      </c>
      <c r="AH70" s="15" t="n">
        <v>0.00719899</v>
      </c>
      <c r="AI70" s="15" t="n">
        <v>0.007127</v>
      </c>
      <c r="AJ70" s="15" t="n">
        <v>0.00705573</v>
      </c>
      <c r="AK70" s="15" t="n">
        <v>0.00698518</v>
      </c>
      <c r="AL70" s="15" t="n">
        <v>0.00691532</v>
      </c>
      <c r="AM70" s="15" t="n">
        <v>0.00684617</v>
      </c>
      <c r="AN70" s="15" t="n">
        <v>0.00677771</v>
      </c>
      <c r="AO70" s="15" t="n">
        <v>0.00670993</v>
      </c>
      <c r="AP70" s="15" t="n">
        <v>0.00664283</v>
      </c>
      <c r="AQ70" s="15" t="n">
        <v>0.0065764</v>
      </c>
      <c r="AR70" s="15" t="n">
        <v>0.00651064</v>
      </c>
      <c r="AS70" s="15" t="n">
        <v>0.00644553</v>
      </c>
      <c r="AT70" s="15" t="n">
        <v>0.00638108</v>
      </c>
      <c r="AU70" s="15" t="n">
        <v>0.00631727</v>
      </c>
      <c r="AV70" s="15" t="n">
        <v>0.00625409</v>
      </c>
      <c r="AW70" s="15" t="n">
        <v>0.00619155</v>
      </c>
      <c r="AX70" s="15" t="n">
        <v>0.00612964</v>
      </c>
      <c r="AY70" s="15" t="n">
        <v>0.00606834</v>
      </c>
      <c r="AZ70" s="15" t="n">
        <v>0.00600766</v>
      </c>
      <c r="BA70" s="15" t="n">
        <v>0.00594758</v>
      </c>
      <c r="BB70" s="15" t="n">
        <v>0.00588811</v>
      </c>
      <c r="BC70" s="15" t="n">
        <v>0.00582923</v>
      </c>
      <c r="BD70" s="15" t="n">
        <v>0.00577093</v>
      </c>
      <c r="BE70" s="15" t="n">
        <v>0.00571322</v>
      </c>
      <c r="BF70" s="15" t="n">
        <v>0.00565609</v>
      </c>
      <c r="BG70" s="15" t="n">
        <v>0.00559953</v>
      </c>
      <c r="BH70" s="15" t="n">
        <v>0.00554354</v>
      </c>
      <c r="BI70" s="15" t="n">
        <v>0.0054881</v>
      </c>
      <c r="BJ70" s="15" t="n">
        <v>0.00543322</v>
      </c>
      <c r="BK70" s="15" t="n">
        <v>0.00537889</v>
      </c>
      <c r="BL70" s="15" t="n">
        <v>0.0053251</v>
      </c>
      <c r="BM70" s="15" t="n">
        <v>0.00527185</v>
      </c>
      <c r="BN70" s="15" t="n">
        <v>0.00521913</v>
      </c>
      <c r="BO70" s="15" t="n">
        <v>0.00516694</v>
      </c>
      <c r="BP70" s="15" t="n">
        <v>0.00511527</v>
      </c>
      <c r="BQ70" s="15" t="n">
        <v>0.00506411</v>
      </c>
      <c r="BR70" s="15" t="n">
        <v>0.00501347</v>
      </c>
      <c r="BS70" s="15" t="n">
        <v>0.00496334</v>
      </c>
      <c r="BT70" s="15" t="n">
        <v>0.00491371</v>
      </c>
      <c r="BU70" s="15" t="n">
        <v>0.00486457</v>
      </c>
      <c r="BV70" s="15" t="n">
        <v>0.00481592</v>
      </c>
      <c r="BW70" s="15" t="n">
        <v>0.00476776</v>
      </c>
      <c r="BX70" s="15" t="n">
        <v>0.00472009</v>
      </c>
    </row>
    <row r="71">
      <c r="A71" t="n">
        <v>68</v>
      </c>
      <c r="B71" s="15" t="n">
        <v>0.01157533</v>
      </c>
      <c r="C71" s="15" t="n">
        <v>0.01140083</v>
      </c>
      <c r="D71" s="15" t="n">
        <v>0.01123893</v>
      </c>
      <c r="E71" s="15" t="n">
        <v>0.01108874</v>
      </c>
      <c r="F71" s="15" t="n">
        <v>0.01094927</v>
      </c>
      <c r="G71" s="15" t="n">
        <v>0.01081935</v>
      </c>
      <c r="H71" s="15" t="n">
        <v>0.01069773</v>
      </c>
      <c r="I71" s="15" t="n">
        <v>0.010583</v>
      </c>
      <c r="J71" s="15" t="n">
        <v>0.01047364</v>
      </c>
      <c r="K71" s="15" t="n">
        <v>0.01036799</v>
      </c>
      <c r="L71" s="15" t="n">
        <v>0.01026431</v>
      </c>
      <c r="M71" s="15" t="n">
        <v>0.01016167</v>
      </c>
      <c r="N71" s="15" t="n">
        <v>0.01006005</v>
      </c>
      <c r="O71" s="15" t="n">
        <v>0.00995945</v>
      </c>
      <c r="P71" s="15" t="n">
        <v>0.00985985</v>
      </c>
      <c r="Q71" s="15" t="n">
        <v>0.009761260000000001</v>
      </c>
      <c r="R71" s="15" t="n">
        <v>0.009663639999999999</v>
      </c>
      <c r="S71" s="15" t="n">
        <v>0.009567010000000001</v>
      </c>
      <c r="T71" s="15" t="n">
        <v>0.00947134</v>
      </c>
      <c r="U71" s="15" t="n">
        <v>0.00937662</v>
      </c>
      <c r="V71" s="15" t="n">
        <v>0.00928286</v>
      </c>
      <c r="W71" s="15" t="n">
        <v>0.00919003</v>
      </c>
      <c r="X71" s="15" t="n">
        <v>0.009098129999999999</v>
      </c>
      <c r="Y71" s="15" t="n">
        <v>0.00900715</v>
      </c>
      <c r="Z71" s="15" t="n">
        <v>0.008917080000000001</v>
      </c>
      <c r="AA71" s="15" t="n">
        <v>0.0088279</v>
      </c>
      <c r="AB71" s="15" t="n">
        <v>0.00873963</v>
      </c>
      <c r="AC71" s="15" t="n">
        <v>0.00865223</v>
      </c>
      <c r="AD71" s="15" t="n">
        <v>0.008565710000000001</v>
      </c>
      <c r="AE71" s="15" t="n">
        <v>0.008480049999999999</v>
      </c>
      <c r="AF71" s="15" t="n">
        <v>0.00839525</v>
      </c>
      <c r="AG71" s="15" t="n">
        <v>0.008311300000000001</v>
      </c>
      <c r="AH71" s="15" t="n">
        <v>0.00822818</v>
      </c>
      <c r="AI71" s="15" t="n">
        <v>0.008145899999999999</v>
      </c>
      <c r="AJ71" s="15" t="n">
        <v>0.008064440000000001</v>
      </c>
      <c r="AK71" s="15" t="n">
        <v>0.007983799999999999</v>
      </c>
      <c r="AL71" s="15" t="n">
        <v>0.00790396</v>
      </c>
      <c r="AM71" s="15" t="n">
        <v>0.007824920000000001</v>
      </c>
      <c r="AN71" s="15" t="n">
        <v>0.00774667</v>
      </c>
      <c r="AO71" s="15" t="n">
        <v>0.00766921</v>
      </c>
      <c r="AP71" s="15" t="n">
        <v>0.00759251</v>
      </c>
      <c r="AQ71" s="15" t="n">
        <v>0.00751659</v>
      </c>
      <c r="AR71" s="15" t="n">
        <v>0.00744142</v>
      </c>
      <c r="AS71" s="15" t="n">
        <v>0.00736701</v>
      </c>
      <c r="AT71" s="15" t="n">
        <v>0.00729334</v>
      </c>
      <c r="AU71" s="15" t="n">
        <v>0.0072204</v>
      </c>
      <c r="AV71" s="15" t="n">
        <v>0.0071482</v>
      </c>
      <c r="AW71" s="15" t="n">
        <v>0.00707672</v>
      </c>
      <c r="AX71" s="15" t="n">
        <v>0.00700595</v>
      </c>
      <c r="AY71" s="15" t="n">
        <v>0.00693589</v>
      </c>
      <c r="AZ71" s="15" t="n">
        <v>0.00686653</v>
      </c>
      <c r="BA71" s="15" t="n">
        <v>0.00679787</v>
      </c>
      <c r="BB71" s="15" t="n">
        <v>0.00672989</v>
      </c>
      <c r="BC71" s="15" t="n">
        <v>0.00666259</v>
      </c>
      <c r="BD71" s="15" t="n">
        <v>0.00659596</v>
      </c>
      <c r="BE71" s="15" t="n">
        <v>0.00653</v>
      </c>
      <c r="BF71" s="15" t="n">
        <v>0.0064647</v>
      </c>
      <c r="BG71" s="15" t="n">
        <v>0.00640006</v>
      </c>
      <c r="BH71" s="15" t="n">
        <v>0.00633606</v>
      </c>
      <c r="BI71" s="15" t="n">
        <v>0.0062727</v>
      </c>
      <c r="BJ71" s="15" t="n">
        <v>0.00620997</v>
      </c>
      <c r="BK71" s="15" t="n">
        <v>0.00614787</v>
      </c>
      <c r="BL71" s="15" t="n">
        <v>0.00608639</v>
      </c>
      <c r="BM71" s="15" t="n">
        <v>0.00602553</v>
      </c>
      <c r="BN71" s="15" t="n">
        <v>0.00596527</v>
      </c>
      <c r="BO71" s="15" t="n">
        <v>0.00590562</v>
      </c>
      <c r="BP71" s="15" t="n">
        <v>0.00584656</v>
      </c>
      <c r="BQ71" s="15" t="n">
        <v>0.0057881</v>
      </c>
      <c r="BR71" s="15" t="n">
        <v>0.00573022</v>
      </c>
      <c r="BS71" s="15" t="n">
        <v>0.00567291</v>
      </c>
      <c r="BT71" s="15" t="n">
        <v>0.00561618</v>
      </c>
      <c r="BU71" s="15" t="n">
        <v>0.00556002</v>
      </c>
      <c r="BV71" s="15" t="n">
        <v>0.00550442</v>
      </c>
      <c r="BW71" s="15" t="n">
        <v>0.00544938</v>
      </c>
      <c r="BX71" s="15" t="n">
        <v>0.00539488</v>
      </c>
    </row>
    <row r="72">
      <c r="A72" t="n">
        <v>69</v>
      </c>
      <c r="B72" s="15" t="n">
        <v>0.01319298</v>
      </c>
      <c r="C72" s="15" t="n">
        <v>0.01299452</v>
      </c>
      <c r="D72" s="15" t="n">
        <v>0.01281033</v>
      </c>
      <c r="E72" s="15" t="n">
        <v>0.01263943</v>
      </c>
      <c r="F72" s="15" t="n">
        <v>0.01248065</v>
      </c>
      <c r="G72" s="15" t="n">
        <v>0.01233272</v>
      </c>
      <c r="H72" s="15" t="n">
        <v>0.01219419</v>
      </c>
      <c r="I72" s="15" t="n">
        <v>0.01206345</v>
      </c>
      <c r="J72" s="15" t="n">
        <v>0.01193881</v>
      </c>
      <c r="K72" s="15" t="n">
        <v>0.0118184</v>
      </c>
      <c r="L72" s="15" t="n">
        <v>0.01170021</v>
      </c>
      <c r="M72" s="15" t="n">
        <v>0.01158321</v>
      </c>
      <c r="N72" s="15" t="n">
        <v>0.01146738</v>
      </c>
      <c r="O72" s="15" t="n">
        <v>0.01135271</v>
      </c>
      <c r="P72" s="15" t="n">
        <v>0.01123918</v>
      </c>
      <c r="Q72" s="15" t="n">
        <v>0.01112679</v>
      </c>
      <c r="R72" s="15" t="n">
        <v>0.01101552</v>
      </c>
      <c r="S72" s="15" t="n">
        <v>0.01090536</v>
      </c>
      <c r="T72" s="15" t="n">
        <v>0.01079631</v>
      </c>
      <c r="U72" s="15" t="n">
        <v>0.01068835</v>
      </c>
      <c r="V72" s="15" t="n">
        <v>0.01058146</v>
      </c>
      <c r="W72" s="15" t="n">
        <v>0.01047565</v>
      </c>
      <c r="X72" s="15" t="n">
        <v>0.01037089</v>
      </c>
      <c r="Y72" s="15" t="n">
        <v>0.01026718</v>
      </c>
      <c r="Z72" s="15" t="n">
        <v>0.01016451</v>
      </c>
      <c r="AA72" s="15" t="n">
        <v>0.01006287</v>
      </c>
      <c r="AB72" s="15" t="n">
        <v>0.009962240000000001</v>
      </c>
      <c r="AC72" s="15" t="n">
        <v>0.009862620000000001</v>
      </c>
      <c r="AD72" s="15" t="n">
        <v>0.00976399</v>
      </c>
      <c r="AE72" s="15" t="n">
        <v>0.009666350000000001</v>
      </c>
      <c r="AF72" s="15" t="n">
        <v>0.00956969</v>
      </c>
      <c r="AG72" s="15" t="n">
        <v>0.00947399</v>
      </c>
      <c r="AH72" s="15" t="n">
        <v>0.00937925</v>
      </c>
      <c r="AI72" s="15" t="n">
        <v>0.009285460000000001</v>
      </c>
      <c r="AJ72" s="15" t="n">
        <v>0.0091926</v>
      </c>
      <c r="AK72" s="15" t="n">
        <v>0.00910068</v>
      </c>
      <c r="AL72" s="15" t="n">
        <v>0.009009669999999999</v>
      </c>
      <c r="AM72" s="15" t="n">
        <v>0.00891957</v>
      </c>
      <c r="AN72" s="15" t="n">
        <v>0.008830380000000001</v>
      </c>
      <c r="AO72" s="15" t="n">
        <v>0.008742069999999999</v>
      </c>
      <c r="AP72" s="15" t="n">
        <v>0.00865465</v>
      </c>
      <c r="AQ72" s="15" t="n">
        <v>0.00856811</v>
      </c>
      <c r="AR72" s="15" t="n">
        <v>0.008482419999999999</v>
      </c>
      <c r="AS72" s="15" t="n">
        <v>0.0083976</v>
      </c>
      <c r="AT72" s="15" t="n">
        <v>0.008313620000000001</v>
      </c>
      <c r="AU72" s="15" t="n">
        <v>0.00823049</v>
      </c>
      <c r="AV72" s="15" t="n">
        <v>0.00814818</v>
      </c>
      <c r="AW72" s="15" t="n">
        <v>0.0080667</v>
      </c>
      <c r="AX72" s="15" t="n">
        <v>0.00798603</v>
      </c>
      <c r="AY72" s="15" t="n">
        <v>0.007906170000000001</v>
      </c>
      <c r="AZ72" s="15" t="n">
        <v>0.00782711</v>
      </c>
      <c r="BA72" s="15" t="n">
        <v>0.00774884</v>
      </c>
      <c r="BB72" s="15" t="n">
        <v>0.00767135</v>
      </c>
      <c r="BC72" s="15" t="n">
        <v>0.00759464</v>
      </c>
      <c r="BD72" s="15" t="n">
        <v>0.00751869</v>
      </c>
      <c r="BE72" s="15" t="n">
        <v>0.00744351</v>
      </c>
      <c r="BF72" s="15" t="n">
        <v>0.00736907</v>
      </c>
      <c r="BG72" s="15" t="n">
        <v>0.00729538</v>
      </c>
      <c r="BH72" s="15" t="n">
        <v>0.00722243</v>
      </c>
      <c r="BI72" s="15" t="n">
        <v>0.0071502</v>
      </c>
      <c r="BJ72" s="15" t="n">
        <v>0.0070787</v>
      </c>
      <c r="BK72" s="15" t="n">
        <v>0.00700791</v>
      </c>
      <c r="BL72" s="15" t="n">
        <v>0.00693783</v>
      </c>
      <c r="BM72" s="15" t="n">
        <v>0.00686846</v>
      </c>
      <c r="BN72" s="15" t="n">
        <v>0.00679977</v>
      </c>
      <c r="BO72" s="15" t="n">
        <v>0.00673177</v>
      </c>
      <c r="BP72" s="15" t="n">
        <v>0.00666446</v>
      </c>
      <c r="BQ72" s="15" t="n">
        <v>0.00659781</v>
      </c>
      <c r="BR72" s="15" t="n">
        <v>0.00653183</v>
      </c>
      <c r="BS72" s="15" t="n">
        <v>0.00646651</v>
      </c>
      <c r="BT72" s="15" t="n">
        <v>0.00640185</v>
      </c>
      <c r="BU72" s="15" t="n">
        <v>0.00633783</v>
      </c>
      <c r="BV72" s="15" t="n">
        <v>0.00627445</v>
      </c>
      <c r="BW72" s="15" t="n">
        <v>0.00621171</v>
      </c>
      <c r="BX72" s="15" t="n">
        <v>0.00614959</v>
      </c>
    </row>
    <row r="73">
      <c r="A73" t="n">
        <v>70</v>
      </c>
      <c r="B73" s="15" t="n">
        <v>0.01492185</v>
      </c>
      <c r="C73" s="15" t="n">
        <v>0.01469818</v>
      </c>
      <c r="D73" s="15" t="n">
        <v>0.0144905</v>
      </c>
      <c r="E73" s="15" t="n">
        <v>0.01429769</v>
      </c>
      <c r="F73" s="15" t="n">
        <v>0.01411848</v>
      </c>
      <c r="G73" s="15" t="n">
        <v>0.01395142</v>
      </c>
      <c r="H73" s="15" t="n">
        <v>0.01379488</v>
      </c>
      <c r="I73" s="15" t="n">
        <v>0.0136471</v>
      </c>
      <c r="J73" s="15" t="n">
        <v>0.01350613</v>
      </c>
      <c r="K73" s="15" t="n">
        <v>0.01336993</v>
      </c>
      <c r="L73" s="15" t="n">
        <v>0.01323623</v>
      </c>
      <c r="M73" s="15" t="n">
        <v>0.01310386</v>
      </c>
      <c r="N73" s="15" t="n">
        <v>0.01297283</v>
      </c>
      <c r="O73" s="15" t="n">
        <v>0.0128431</v>
      </c>
      <c r="P73" s="15" t="n">
        <v>0.01271467</v>
      </c>
      <c r="Q73" s="15" t="n">
        <v>0.01258752</v>
      </c>
      <c r="R73" s="15" t="n">
        <v>0.01246164</v>
      </c>
      <c r="S73" s="15" t="n">
        <v>0.01233703</v>
      </c>
      <c r="T73" s="15" t="n">
        <v>0.01221366</v>
      </c>
      <c r="U73" s="15" t="n">
        <v>0.01209152</v>
      </c>
      <c r="V73" s="15" t="n">
        <v>0.01197061</v>
      </c>
      <c r="W73" s="15" t="n">
        <v>0.0118509</v>
      </c>
      <c r="X73" s="15" t="n">
        <v>0.01173239</v>
      </c>
      <c r="Y73" s="15" t="n">
        <v>0.01161507</v>
      </c>
      <c r="Z73" s="15" t="n">
        <v>0.01149892</v>
      </c>
      <c r="AA73" s="15" t="n">
        <v>0.01138393</v>
      </c>
      <c r="AB73" s="15" t="n">
        <v>0.01127009</v>
      </c>
      <c r="AC73" s="15" t="n">
        <v>0.01115739</v>
      </c>
      <c r="AD73" s="15" t="n">
        <v>0.01104581</v>
      </c>
      <c r="AE73" s="15" t="n">
        <v>0.01093535</v>
      </c>
      <c r="AF73" s="15" t="n">
        <v>0.010826</v>
      </c>
      <c r="AG73" s="15" t="n">
        <v>0.01071774</v>
      </c>
      <c r="AH73" s="15" t="n">
        <v>0.01061056</v>
      </c>
      <c r="AI73" s="15" t="n">
        <v>0.01050446</v>
      </c>
      <c r="AJ73" s="15" t="n">
        <v>0.01039941</v>
      </c>
      <c r="AK73" s="15" t="n">
        <v>0.01029542</v>
      </c>
      <c r="AL73" s="15" t="n">
        <v>0.01019247</v>
      </c>
      <c r="AM73" s="15" t="n">
        <v>0.01009054</v>
      </c>
      <c r="AN73" s="15" t="n">
        <v>0.009989639999999999</v>
      </c>
      <c r="AO73" s="15" t="n">
        <v>0.009889739999999999</v>
      </c>
      <c r="AP73" s="15" t="n">
        <v>0.00979084</v>
      </c>
      <c r="AQ73" s="15" t="n">
        <v>0.009692930000000001</v>
      </c>
      <c r="AR73" s="15" t="n">
        <v>0.009596</v>
      </c>
      <c r="AS73" s="15" t="n">
        <v>0.00950004</v>
      </c>
      <c r="AT73" s="15" t="n">
        <v>0.00940504</v>
      </c>
      <c r="AU73" s="15" t="n">
        <v>0.00931099</v>
      </c>
      <c r="AV73" s="15" t="n">
        <v>0.009217879999999999</v>
      </c>
      <c r="AW73" s="15" t="n">
        <v>0.0091257</v>
      </c>
      <c r="AX73" s="15" t="n">
        <v>0.009034449999999999</v>
      </c>
      <c r="AY73" s="15" t="n">
        <v>0.0089441</v>
      </c>
      <c r="AZ73" s="15" t="n">
        <v>0.00885466</v>
      </c>
      <c r="BA73" s="15" t="n">
        <v>0.008766110000000001</v>
      </c>
      <c r="BB73" s="15" t="n">
        <v>0.008678450000000001</v>
      </c>
      <c r="BC73" s="15" t="n">
        <v>0.008591669999999999</v>
      </c>
      <c r="BD73" s="15" t="n">
        <v>0.008505749999999999</v>
      </c>
      <c r="BE73" s="15" t="n">
        <v>0.0084207</v>
      </c>
      <c r="BF73" s="15" t="n">
        <v>0.00833649</v>
      </c>
      <c r="BG73" s="15" t="n">
        <v>0.008253119999999999</v>
      </c>
      <c r="BH73" s="15" t="n">
        <v>0.00817059</v>
      </c>
      <c r="BI73" s="15" t="n">
        <v>0.00808889</v>
      </c>
      <c r="BJ73" s="15" t="n">
        <v>0.008007999999999999</v>
      </c>
      <c r="BK73" s="15" t="n">
        <v>0.00792792</v>
      </c>
      <c r="BL73" s="15" t="n">
        <v>0.00784864</v>
      </c>
      <c r="BM73" s="15" t="n">
        <v>0.00777015</v>
      </c>
      <c r="BN73" s="15" t="n">
        <v>0.00769245</v>
      </c>
      <c r="BO73" s="15" t="n">
        <v>0.00761553</v>
      </c>
      <c r="BP73" s="15" t="n">
        <v>0.00753937</v>
      </c>
      <c r="BQ73" s="15" t="n">
        <v>0.00746398</v>
      </c>
      <c r="BR73" s="15" t="n">
        <v>0.00738934</v>
      </c>
      <c r="BS73" s="15" t="n">
        <v>0.00731544</v>
      </c>
      <c r="BT73" s="15" t="n">
        <v>0.00724229</v>
      </c>
      <c r="BU73" s="15" t="n">
        <v>0.00716987</v>
      </c>
      <c r="BV73" s="15" t="n">
        <v>0.00709817</v>
      </c>
      <c r="BW73" s="15" t="n">
        <v>0.00702719</v>
      </c>
      <c r="BX73" s="15" t="n">
        <v>0.00695691</v>
      </c>
    </row>
    <row r="74">
      <c r="A74" t="n">
        <v>71</v>
      </c>
      <c r="B74" s="15" t="n">
        <v>0.01672321</v>
      </c>
      <c r="C74" s="15" t="n">
        <v>0.01647384</v>
      </c>
      <c r="D74" s="15" t="n">
        <v>0.01624212</v>
      </c>
      <c r="E74" s="15" t="n">
        <v>0.01602683</v>
      </c>
      <c r="F74" s="15" t="n">
        <v>0.01582657</v>
      </c>
      <c r="G74" s="15" t="n">
        <v>0.01563974</v>
      </c>
      <c r="H74" s="15" t="n">
        <v>0.01546456</v>
      </c>
      <c r="I74" s="15" t="n">
        <v>0.01529906</v>
      </c>
      <c r="J74" s="15" t="n">
        <v>0.01514112</v>
      </c>
      <c r="K74" s="15" t="n">
        <v>0.01498844</v>
      </c>
      <c r="L74" s="15" t="n">
        <v>0.01483856</v>
      </c>
      <c r="M74" s="15" t="n">
        <v>0.01469017</v>
      </c>
      <c r="N74" s="15" t="n">
        <v>0.01454327</v>
      </c>
      <c r="O74" s="15" t="n">
        <v>0.01439784</v>
      </c>
      <c r="P74" s="15" t="n">
        <v>0.01425386</v>
      </c>
      <c r="Q74" s="15" t="n">
        <v>0.01411132</v>
      </c>
      <c r="R74" s="15" t="n">
        <v>0.01397021</v>
      </c>
      <c r="S74" s="15" t="n">
        <v>0.0138305</v>
      </c>
      <c r="T74" s="15" t="n">
        <v>0.0136922</v>
      </c>
      <c r="U74" s="15" t="n">
        <v>0.01355528</v>
      </c>
      <c r="V74" s="15" t="n">
        <v>0.01341972</v>
      </c>
      <c r="W74" s="15" t="n">
        <v>0.01328553</v>
      </c>
      <c r="X74" s="15" t="n">
        <v>0.01315267</v>
      </c>
      <c r="Y74" s="15" t="n">
        <v>0.01302114</v>
      </c>
      <c r="Z74" s="15" t="n">
        <v>0.01289093</v>
      </c>
      <c r="AA74" s="15" t="n">
        <v>0.01276202</v>
      </c>
      <c r="AB74" s="15" t="n">
        <v>0.0126344</v>
      </c>
      <c r="AC74" s="15" t="n">
        <v>0.01250806</v>
      </c>
      <c r="AD74" s="15" t="n">
        <v>0.01238298</v>
      </c>
      <c r="AE74" s="15" t="n">
        <v>0.01225915</v>
      </c>
      <c r="AF74" s="15" t="n">
        <v>0.01213656</v>
      </c>
      <c r="AG74" s="15" t="n">
        <v>0.01201519</v>
      </c>
      <c r="AH74" s="15" t="n">
        <v>0.01189504</v>
      </c>
      <c r="AI74" s="15" t="n">
        <v>0.01177609</v>
      </c>
      <c r="AJ74" s="15" t="n">
        <v>0.01165833</v>
      </c>
      <c r="AK74" s="15" t="n">
        <v>0.01154175</v>
      </c>
      <c r="AL74" s="15" t="n">
        <v>0.01142633</v>
      </c>
      <c r="AM74" s="15" t="n">
        <v>0.01131207</v>
      </c>
      <c r="AN74" s="15" t="n">
        <v>0.01119894</v>
      </c>
      <c r="AO74" s="15" t="n">
        <v>0.01108696</v>
      </c>
      <c r="AP74" s="15" t="n">
        <v>0.01097609</v>
      </c>
      <c r="AQ74" s="15" t="n">
        <v>0.01086632</v>
      </c>
      <c r="AR74" s="15" t="n">
        <v>0.01075766</v>
      </c>
      <c r="AS74" s="15" t="n">
        <v>0.01065008</v>
      </c>
      <c r="AT74" s="15" t="n">
        <v>0.01054358</v>
      </c>
      <c r="AU74" s="15" t="n">
        <v>0.01043815</v>
      </c>
      <c r="AV74" s="15" t="n">
        <v>0.01033377</v>
      </c>
      <c r="AW74" s="15" t="n">
        <v>0.01023043</v>
      </c>
      <c r="AX74" s="15" t="n">
        <v>0.01012812</v>
      </c>
      <c r="AY74" s="15" t="n">
        <v>0.01002684</v>
      </c>
      <c r="AZ74" s="15" t="n">
        <v>0.009926569999999999</v>
      </c>
      <c r="BA74" s="15" t="n">
        <v>0.009827310000000001</v>
      </c>
      <c r="BB74" s="15" t="n">
        <v>0.00972904</v>
      </c>
      <c r="BC74" s="15" t="n">
        <v>0.00963175</v>
      </c>
      <c r="BD74" s="15" t="n">
        <v>0.009535429999999999</v>
      </c>
      <c r="BE74" s="15" t="n">
        <v>0.00944007</v>
      </c>
      <c r="BF74" s="15" t="n">
        <v>0.00934567</v>
      </c>
      <c r="BG74" s="15" t="n">
        <v>0.00925222</v>
      </c>
      <c r="BH74" s="15" t="n">
        <v>0.00915969</v>
      </c>
      <c r="BI74" s="15" t="n">
        <v>0.009068100000000001</v>
      </c>
      <c r="BJ74" s="15" t="n">
        <v>0.00897742</v>
      </c>
      <c r="BK74" s="15" t="n">
        <v>0.00888764</v>
      </c>
      <c r="BL74" s="15" t="n">
        <v>0.008798769999999999</v>
      </c>
      <c r="BM74" s="15" t="n">
        <v>0.00871078</v>
      </c>
      <c r="BN74" s="15" t="n">
        <v>0.00862367</v>
      </c>
      <c r="BO74" s="15" t="n">
        <v>0.00853743</v>
      </c>
      <c r="BP74" s="15" t="n">
        <v>0.008452060000000001</v>
      </c>
      <c r="BQ74" s="15" t="n">
        <v>0.00836754</v>
      </c>
      <c r="BR74" s="15" t="n">
        <v>0.008283860000000001</v>
      </c>
      <c r="BS74" s="15" t="n">
        <v>0.00820102</v>
      </c>
      <c r="BT74" s="15" t="n">
        <v>0.008119009999999999</v>
      </c>
      <c r="BU74" s="15" t="n">
        <v>0.008037819999999999</v>
      </c>
      <c r="BV74" s="15" t="n">
        <v>0.00795745</v>
      </c>
      <c r="BW74" s="15" t="n">
        <v>0.00787787</v>
      </c>
      <c r="BX74" s="15" t="n">
        <v>0.00779909</v>
      </c>
    </row>
    <row r="75">
      <c r="A75" t="n">
        <v>72</v>
      </c>
      <c r="B75" s="15" t="n">
        <v>0.01858545</v>
      </c>
      <c r="C75" s="15" t="n">
        <v>0.01831018</v>
      </c>
      <c r="D75" s="15" t="n">
        <v>0.01805417</v>
      </c>
      <c r="E75" s="15" t="n">
        <v>0.01781609</v>
      </c>
      <c r="F75" s="15" t="n">
        <v>0.01759438</v>
      </c>
      <c r="G75" s="15" t="n">
        <v>0.01738733</v>
      </c>
      <c r="H75" s="15" t="n">
        <v>0.017193</v>
      </c>
      <c r="I75" s="15" t="n">
        <v>0.01700925</v>
      </c>
      <c r="J75" s="15" t="n">
        <v>0.01683377</v>
      </c>
      <c r="K75" s="15" t="n">
        <v>0.01666405</v>
      </c>
      <c r="L75" s="15" t="n">
        <v>0.01649741</v>
      </c>
      <c r="M75" s="15" t="n">
        <v>0.01633244</v>
      </c>
      <c r="N75" s="15" t="n">
        <v>0.01616911</v>
      </c>
      <c r="O75" s="15" t="n">
        <v>0.01600742</v>
      </c>
      <c r="P75" s="15" t="n">
        <v>0.01584735</v>
      </c>
      <c r="Q75" s="15" t="n">
        <v>0.01568887</v>
      </c>
      <c r="R75" s="15" t="n">
        <v>0.01553199</v>
      </c>
      <c r="S75" s="15" t="n">
        <v>0.01537667</v>
      </c>
      <c r="T75" s="15" t="n">
        <v>0.0152229</v>
      </c>
      <c r="U75" s="15" t="n">
        <v>0.01507067</v>
      </c>
      <c r="V75" s="15" t="n">
        <v>0.01491996</v>
      </c>
      <c r="W75" s="15" t="n">
        <v>0.01477076</v>
      </c>
      <c r="X75" s="15" t="n">
        <v>0.01462306</v>
      </c>
      <c r="Y75" s="15" t="n">
        <v>0.01447683</v>
      </c>
      <c r="Z75" s="15" t="n">
        <v>0.01433206</v>
      </c>
      <c r="AA75" s="15" t="n">
        <v>0.01418874</v>
      </c>
      <c r="AB75" s="15" t="n">
        <v>0.01404685</v>
      </c>
      <c r="AC75" s="15" t="n">
        <v>0.01390638</v>
      </c>
      <c r="AD75" s="15" t="n">
        <v>0.01376732</v>
      </c>
      <c r="AE75" s="15" t="n">
        <v>0.01362964</v>
      </c>
      <c r="AF75" s="15" t="n">
        <v>0.01349335</v>
      </c>
      <c r="AG75" s="15" t="n">
        <v>0.01335841</v>
      </c>
      <c r="AH75" s="15" t="n">
        <v>0.01322483</v>
      </c>
      <c r="AI75" s="15" t="n">
        <v>0.01309258</v>
      </c>
      <c r="AJ75" s="15" t="n">
        <v>0.01296166</v>
      </c>
      <c r="AK75" s="15" t="n">
        <v>0.01283204</v>
      </c>
      <c r="AL75" s="15" t="n">
        <v>0.01270372</v>
      </c>
      <c r="AM75" s="15" t="n">
        <v>0.01257668</v>
      </c>
      <c r="AN75" s="15" t="n">
        <v>0.01245091</v>
      </c>
      <c r="AO75" s="15" t="n">
        <v>0.01232641</v>
      </c>
      <c r="AP75" s="15" t="n">
        <v>0.01220314</v>
      </c>
      <c r="AQ75" s="15" t="n">
        <v>0.01208111</v>
      </c>
      <c r="AR75" s="15" t="n">
        <v>0.0119603</v>
      </c>
      <c r="AS75" s="15" t="n">
        <v>0.0118407</v>
      </c>
      <c r="AT75" s="15" t="n">
        <v>0.01172229</v>
      </c>
      <c r="AU75" s="15" t="n">
        <v>0.01160507</v>
      </c>
      <c r="AV75" s="15" t="n">
        <v>0.01148902</v>
      </c>
      <c r="AW75" s="15" t="n">
        <v>0.01137413</v>
      </c>
      <c r="AX75" s="15" t="n">
        <v>0.01126038</v>
      </c>
      <c r="AY75" s="15" t="n">
        <v>0.01114778</v>
      </c>
      <c r="AZ75" s="15" t="n">
        <v>0.0110363</v>
      </c>
      <c r="BA75" s="15" t="n">
        <v>0.01092594</v>
      </c>
      <c r="BB75" s="15" t="n">
        <v>0.01081668</v>
      </c>
      <c r="BC75" s="15" t="n">
        <v>0.01070851</v>
      </c>
      <c r="BD75" s="15" t="n">
        <v>0.01060143</v>
      </c>
      <c r="BE75" s="15" t="n">
        <v>0.01049541</v>
      </c>
      <c r="BF75" s="15" t="n">
        <v>0.01039046</v>
      </c>
      <c r="BG75" s="15" t="n">
        <v>0.01028655</v>
      </c>
      <c r="BH75" s="15" t="n">
        <v>0.01018369</v>
      </c>
      <c r="BI75" s="15" t="n">
        <v>0.01008185</v>
      </c>
      <c r="BJ75" s="15" t="n">
        <v>0.00998103</v>
      </c>
      <c r="BK75" s="15" t="n">
        <v>0.00988122</v>
      </c>
      <c r="BL75" s="15" t="n">
        <v>0.00978241</v>
      </c>
      <c r="BM75" s="15" t="n">
        <v>0.00968459</v>
      </c>
      <c r="BN75" s="15" t="n">
        <v>0.009587740000000001</v>
      </c>
      <c r="BO75" s="15" t="n">
        <v>0.00949186</v>
      </c>
      <c r="BP75" s="15" t="n">
        <v>0.009396949999999999</v>
      </c>
      <c r="BQ75" s="15" t="n">
        <v>0.009302980000000001</v>
      </c>
      <c r="BR75" s="15" t="n">
        <v>0.00920995</v>
      </c>
      <c r="BS75" s="15" t="n">
        <v>0.00911785</v>
      </c>
      <c r="BT75" s="15" t="n">
        <v>0.009026670000000001</v>
      </c>
      <c r="BU75" s="15" t="n">
        <v>0.008936400000000001</v>
      </c>
      <c r="BV75" s="15" t="n">
        <v>0.00884704</v>
      </c>
      <c r="BW75" s="15" t="n">
        <v>0.00875857</v>
      </c>
      <c r="BX75" s="15" t="n">
        <v>0.00867098</v>
      </c>
    </row>
    <row r="76">
      <c r="A76" t="n">
        <v>73</v>
      </c>
      <c r="B76" s="15" t="n">
        <v>0.02052991</v>
      </c>
      <c r="C76" s="15" t="n">
        <v>0.02022843</v>
      </c>
      <c r="D76" s="15" t="n">
        <v>0.0199477</v>
      </c>
      <c r="E76" s="15" t="n">
        <v>0.0196863</v>
      </c>
      <c r="F76" s="15" t="n">
        <v>0.01944259</v>
      </c>
      <c r="G76" s="15" t="n">
        <v>0.01921468</v>
      </c>
      <c r="H76" s="15" t="n">
        <v>0.01900051</v>
      </c>
      <c r="I76" s="15" t="n">
        <v>0.0187978</v>
      </c>
      <c r="J76" s="15" t="n">
        <v>0.01860401</v>
      </c>
      <c r="K76" s="15" t="n">
        <v>0.01841648</v>
      </c>
      <c r="L76" s="15" t="n">
        <v>0.01823232</v>
      </c>
      <c r="M76" s="15" t="n">
        <v>0.01804999</v>
      </c>
      <c r="N76" s="15" t="n">
        <v>0.01786949</v>
      </c>
      <c r="O76" s="15" t="n">
        <v>0.0176908</v>
      </c>
      <c r="P76" s="15" t="n">
        <v>0.01751389</v>
      </c>
      <c r="Q76" s="15" t="n">
        <v>0.01733875</v>
      </c>
      <c r="R76" s="15" t="n">
        <v>0.01716536</v>
      </c>
      <c r="S76" s="15" t="n">
        <v>0.01699371</v>
      </c>
      <c r="T76" s="15" t="n">
        <v>0.01682377</v>
      </c>
      <c r="U76" s="15" t="n">
        <v>0.01665554</v>
      </c>
      <c r="V76" s="15" t="n">
        <v>0.01648898</v>
      </c>
      <c r="W76" s="15" t="n">
        <v>0.01632409</v>
      </c>
      <c r="X76" s="15" t="n">
        <v>0.01616085</v>
      </c>
      <c r="Y76" s="15" t="n">
        <v>0.01599924</v>
      </c>
      <c r="Z76" s="15" t="n">
        <v>0.01583925</v>
      </c>
      <c r="AA76" s="15" t="n">
        <v>0.01568086</v>
      </c>
      <c r="AB76" s="15" t="n">
        <v>0.01552405</v>
      </c>
      <c r="AC76" s="15" t="n">
        <v>0.01536881</v>
      </c>
      <c r="AD76" s="15" t="n">
        <v>0.01521512</v>
      </c>
      <c r="AE76" s="15" t="n">
        <v>0.01506297</v>
      </c>
      <c r="AF76" s="15" t="n">
        <v>0.01491234</v>
      </c>
      <c r="AG76" s="15" t="n">
        <v>0.01476322</v>
      </c>
      <c r="AH76" s="15" t="n">
        <v>0.01461558</v>
      </c>
      <c r="AI76" s="15" t="n">
        <v>0.01446943</v>
      </c>
      <c r="AJ76" s="15" t="n">
        <v>0.01432473</v>
      </c>
      <c r="AK76" s="15" t="n">
        <v>0.01418149</v>
      </c>
      <c r="AL76" s="15" t="n">
        <v>0.01403967</v>
      </c>
      <c r="AM76" s="15" t="n">
        <v>0.01389927</v>
      </c>
      <c r="AN76" s="15" t="n">
        <v>0.01376028</v>
      </c>
      <c r="AO76" s="15" t="n">
        <v>0.01362268</v>
      </c>
      <c r="AP76" s="15" t="n">
        <v>0.01348645</v>
      </c>
      <c r="AQ76" s="15" t="n">
        <v>0.01335159</v>
      </c>
      <c r="AR76" s="15" t="n">
        <v>0.01321807</v>
      </c>
      <c r="AS76" s="15" t="n">
        <v>0.01308589</v>
      </c>
      <c r="AT76" s="15" t="n">
        <v>0.01295503</v>
      </c>
      <c r="AU76" s="15" t="n">
        <v>0.01282548</v>
      </c>
      <c r="AV76" s="15" t="n">
        <v>0.01269723</v>
      </c>
      <c r="AW76" s="15" t="n">
        <v>0.01257025</v>
      </c>
      <c r="AX76" s="15" t="n">
        <v>0.01244455</v>
      </c>
      <c r="AY76" s="15" t="n">
        <v>0.01232011</v>
      </c>
      <c r="AZ76" s="15" t="n">
        <v>0.01219691</v>
      </c>
      <c r="BA76" s="15" t="n">
        <v>0.01207494</v>
      </c>
      <c r="BB76" s="15" t="n">
        <v>0.01195419</v>
      </c>
      <c r="BC76" s="15" t="n">
        <v>0.01183465</v>
      </c>
      <c r="BD76" s="15" t="n">
        <v>0.0117163</v>
      </c>
      <c r="BE76" s="15" t="n">
        <v>0.01159914</v>
      </c>
      <c r="BF76" s="15" t="n">
        <v>0.01148314</v>
      </c>
      <c r="BG76" s="15" t="n">
        <v>0.01136831</v>
      </c>
      <c r="BH76" s="15" t="n">
        <v>0.01125463</v>
      </c>
      <c r="BI76" s="15" t="n">
        <v>0.01114208</v>
      </c>
      <c r="BJ76" s="15" t="n">
        <v>0.01103066</v>
      </c>
      <c r="BK76" s="15" t="n">
        <v>0.01092036</v>
      </c>
      <c r="BL76" s="15" t="n">
        <v>0.01081115</v>
      </c>
      <c r="BM76" s="15" t="n">
        <v>0.01070304</v>
      </c>
      <c r="BN76" s="15" t="n">
        <v>0.01059601</v>
      </c>
      <c r="BO76" s="15" t="n">
        <v>0.01049005</v>
      </c>
      <c r="BP76" s="15" t="n">
        <v>0.01038515</v>
      </c>
      <c r="BQ76" s="15" t="n">
        <v>0.0102813</v>
      </c>
      <c r="BR76" s="15" t="n">
        <v>0.01017849</v>
      </c>
      <c r="BS76" s="15" t="n">
        <v>0.0100767</v>
      </c>
      <c r="BT76" s="15" t="n">
        <v>0.009975929999999999</v>
      </c>
      <c r="BU76" s="15" t="n">
        <v>0.00987617</v>
      </c>
      <c r="BV76" s="15" t="n">
        <v>0.00977741</v>
      </c>
      <c r="BW76" s="15" t="n">
        <v>0.00967964</v>
      </c>
      <c r="BX76" s="15" t="n">
        <v>0.00958284</v>
      </c>
    </row>
    <row r="77">
      <c r="A77" t="n">
        <v>74</v>
      </c>
      <c r="B77" s="15" t="n">
        <v>0.02260888</v>
      </c>
      <c r="C77" s="15" t="n">
        <v>0.02228023</v>
      </c>
      <c r="D77" s="15" t="n">
        <v>0.02197377</v>
      </c>
      <c r="E77" s="15" t="n">
        <v>0.021688</v>
      </c>
      <c r="F77" s="15" t="n">
        <v>0.02142115</v>
      </c>
      <c r="G77" s="15" t="n">
        <v>0.02117123</v>
      </c>
      <c r="H77" s="15" t="n">
        <v>0.02093604</v>
      </c>
      <c r="I77" s="15" t="n">
        <v>0.02071311</v>
      </c>
      <c r="J77" s="15" t="n">
        <v>0.02049979</v>
      </c>
      <c r="K77" s="15" t="n">
        <v>0.02029321</v>
      </c>
      <c r="L77" s="15" t="n">
        <v>0.02009028</v>
      </c>
      <c r="M77" s="15" t="n">
        <v>0.01988938</v>
      </c>
      <c r="N77" s="15" t="n">
        <v>0.01969048</v>
      </c>
      <c r="O77" s="15" t="n">
        <v>0.01949358</v>
      </c>
      <c r="P77" s="15" t="n">
        <v>0.01929864</v>
      </c>
      <c r="Q77" s="15" t="n">
        <v>0.01910565</v>
      </c>
      <c r="R77" s="15" t="n">
        <v>0.0189146</v>
      </c>
      <c r="S77" s="15" t="n">
        <v>0.01872545</v>
      </c>
      <c r="T77" s="15" t="n">
        <v>0.0185382</v>
      </c>
      <c r="U77" s="15" t="n">
        <v>0.01835282</v>
      </c>
      <c r="V77" s="15" t="n">
        <v>0.01816929</v>
      </c>
      <c r="W77" s="15" t="n">
        <v>0.01798759</v>
      </c>
      <c r="X77" s="15" t="n">
        <v>0.01780772</v>
      </c>
      <c r="Y77" s="15" t="n">
        <v>0.01762964</v>
      </c>
      <c r="Z77" s="15" t="n">
        <v>0.01745335</v>
      </c>
      <c r="AA77" s="15" t="n">
        <v>0.01727881</v>
      </c>
      <c r="AB77" s="15" t="n">
        <v>0.01710602</v>
      </c>
      <c r="AC77" s="15" t="n">
        <v>0.01693496</v>
      </c>
      <c r="AD77" s="15" t="n">
        <v>0.01676561</v>
      </c>
      <c r="AE77" s="15" t="n">
        <v>0.01659796</v>
      </c>
      <c r="AF77" s="15" t="n">
        <v>0.01643198</v>
      </c>
      <c r="AG77" s="15" t="n">
        <v>0.01626766</v>
      </c>
      <c r="AH77" s="15" t="n">
        <v>0.01610498</v>
      </c>
      <c r="AI77" s="15" t="n">
        <v>0.01594393</v>
      </c>
      <c r="AJ77" s="15" t="n">
        <v>0.01578449</v>
      </c>
      <c r="AK77" s="15" t="n">
        <v>0.01562665</v>
      </c>
      <c r="AL77" s="15" t="n">
        <v>0.01547038</v>
      </c>
      <c r="AM77" s="15" t="n">
        <v>0.01531568</v>
      </c>
      <c r="AN77" s="15" t="n">
        <v>0.01516252</v>
      </c>
      <c r="AO77" s="15" t="n">
        <v>0.0150109</v>
      </c>
      <c r="AP77" s="15" t="n">
        <v>0.01486079</v>
      </c>
      <c r="AQ77" s="15" t="n">
        <v>0.01471218</v>
      </c>
      <c r="AR77" s="15" t="n">
        <v>0.01456506</v>
      </c>
      <c r="AS77" s="15" t="n">
        <v>0.01441941</v>
      </c>
      <c r="AT77" s="15" t="n">
        <v>0.01427521</v>
      </c>
      <c r="AU77" s="15" t="n">
        <v>0.01413246</v>
      </c>
      <c r="AV77" s="15" t="n">
        <v>0.01399114</v>
      </c>
      <c r="AW77" s="15" t="n">
        <v>0.01385122</v>
      </c>
      <c r="AX77" s="15" t="n">
        <v>0.01371271</v>
      </c>
      <c r="AY77" s="15" t="n">
        <v>0.01357558</v>
      </c>
      <c r="AZ77" s="15" t="n">
        <v>0.01343983</v>
      </c>
      <c r="BA77" s="15" t="n">
        <v>0.01330543</v>
      </c>
      <c r="BB77" s="15" t="n">
        <v>0.01317238</v>
      </c>
      <c r="BC77" s="15" t="n">
        <v>0.01304065</v>
      </c>
      <c r="BD77" s="15" t="n">
        <v>0.01291025</v>
      </c>
      <c r="BE77" s="15" t="n">
        <v>0.01278114</v>
      </c>
      <c r="BF77" s="15" t="n">
        <v>0.01265333</v>
      </c>
      <c r="BG77" s="15" t="n">
        <v>0.0125268</v>
      </c>
      <c r="BH77" s="15" t="n">
        <v>0.01240153</v>
      </c>
      <c r="BI77" s="15" t="n">
        <v>0.01227752</v>
      </c>
      <c r="BJ77" s="15" t="n">
        <v>0.01215474</v>
      </c>
      <c r="BK77" s="15" t="n">
        <v>0.01203319</v>
      </c>
      <c r="BL77" s="15" t="n">
        <v>0.01191286</v>
      </c>
      <c r="BM77" s="15" t="n">
        <v>0.01179373</v>
      </c>
      <c r="BN77" s="15" t="n">
        <v>0.0116758</v>
      </c>
      <c r="BO77" s="15" t="n">
        <v>0.01155904</v>
      </c>
      <c r="BP77" s="15" t="n">
        <v>0.01144345</v>
      </c>
      <c r="BQ77" s="15" t="n">
        <v>0.01132901</v>
      </c>
      <c r="BR77" s="15" t="n">
        <v>0.01121572</v>
      </c>
      <c r="BS77" s="15" t="n">
        <v>0.01110356</v>
      </c>
      <c r="BT77" s="15" t="n">
        <v>0.01099253</v>
      </c>
      <c r="BU77" s="15" t="n">
        <v>0.0108826</v>
      </c>
      <c r="BV77" s="15" t="n">
        <v>0.01077378</v>
      </c>
      <c r="BW77" s="15" t="n">
        <v>0.01066604</v>
      </c>
      <c r="BX77" s="15" t="n">
        <v>0.01055938</v>
      </c>
    </row>
    <row r="78">
      <c r="A78" t="n">
        <v>75</v>
      </c>
      <c r="B78" s="15" t="n">
        <v>0.02490082</v>
      </c>
      <c r="C78" s="15" t="n">
        <v>0.02454322</v>
      </c>
      <c r="D78" s="15" t="n">
        <v>0.02420919</v>
      </c>
      <c r="E78" s="15" t="n">
        <v>0.02389716</v>
      </c>
      <c r="F78" s="15" t="n">
        <v>0.02360525</v>
      </c>
      <c r="G78" s="15" t="n">
        <v>0.02333138</v>
      </c>
      <c r="H78" s="15" t="n">
        <v>0.0230732</v>
      </c>
      <c r="I78" s="15" t="n">
        <v>0.02282809</v>
      </c>
      <c r="J78" s="15" t="n">
        <v>0.02259326</v>
      </c>
      <c r="K78" s="15" t="n">
        <v>0.02236566</v>
      </c>
      <c r="L78" s="15" t="n">
        <v>0.022142</v>
      </c>
      <c r="M78" s="15" t="n">
        <v>0.02192058</v>
      </c>
      <c r="N78" s="15" t="n">
        <v>0.02170137</v>
      </c>
      <c r="O78" s="15" t="n">
        <v>0.02148436</v>
      </c>
      <c r="P78" s="15" t="n">
        <v>0.02126952</v>
      </c>
      <c r="Q78" s="15" t="n">
        <v>0.02105682</v>
      </c>
      <c r="R78" s="15" t="n">
        <v>0.02084625</v>
      </c>
      <c r="S78" s="15" t="n">
        <v>0.02063779</v>
      </c>
      <c r="T78" s="15" t="n">
        <v>0.02043141</v>
      </c>
      <c r="U78" s="15" t="n">
        <v>0.0202271</v>
      </c>
      <c r="V78" s="15" t="n">
        <v>0.02002483</v>
      </c>
      <c r="W78" s="15" t="n">
        <v>0.01982458</v>
      </c>
      <c r="X78" s="15" t="n">
        <v>0.01962633</v>
      </c>
      <c r="Y78" s="15" t="n">
        <v>0.01943007</v>
      </c>
      <c r="Z78" s="15" t="n">
        <v>0.01923577</v>
      </c>
      <c r="AA78" s="15" t="n">
        <v>0.01904341</v>
      </c>
      <c r="AB78" s="15" t="n">
        <v>0.01885298</v>
      </c>
      <c r="AC78" s="15" t="n">
        <v>0.01866445</v>
      </c>
      <c r="AD78" s="15" t="n">
        <v>0.0184778</v>
      </c>
      <c r="AE78" s="15" t="n">
        <v>0.01829303</v>
      </c>
      <c r="AF78" s="15" t="n">
        <v>0.01811009</v>
      </c>
      <c r="AG78" s="15" t="n">
        <v>0.01792899</v>
      </c>
      <c r="AH78" s="15" t="n">
        <v>0.0177497</v>
      </c>
      <c r="AI78" s="15" t="n">
        <v>0.01757221</v>
      </c>
      <c r="AJ78" s="15" t="n">
        <v>0.01739648</v>
      </c>
      <c r="AK78" s="15" t="n">
        <v>0.01722252</v>
      </c>
      <c r="AL78" s="15" t="n">
        <v>0.01705029</v>
      </c>
      <c r="AM78" s="15" t="n">
        <v>0.01687979</v>
      </c>
      <c r="AN78" s="15" t="n">
        <v>0.01671099</v>
      </c>
      <c r="AO78" s="15" t="n">
        <v>0.01654388</v>
      </c>
      <c r="AP78" s="15" t="n">
        <v>0.01637845</v>
      </c>
      <c r="AQ78" s="15" t="n">
        <v>0.01621466</v>
      </c>
      <c r="AR78" s="15" t="n">
        <v>0.01605251</v>
      </c>
      <c r="AS78" s="15" t="n">
        <v>0.01589199</v>
      </c>
      <c r="AT78" s="15" t="n">
        <v>0.01573307</v>
      </c>
      <c r="AU78" s="15" t="n">
        <v>0.01557574</v>
      </c>
      <c r="AV78" s="15" t="n">
        <v>0.01541998</v>
      </c>
      <c r="AW78" s="15" t="n">
        <v>0.01526578</v>
      </c>
      <c r="AX78" s="15" t="n">
        <v>0.01511312</v>
      </c>
      <c r="AY78" s="15" t="n">
        <v>0.01496199</v>
      </c>
      <c r="AZ78" s="15" t="n">
        <v>0.01481237</v>
      </c>
      <c r="BA78" s="15" t="n">
        <v>0.01466425</v>
      </c>
      <c r="BB78" s="15" t="n">
        <v>0.01451761</v>
      </c>
      <c r="BC78" s="15" t="n">
        <v>0.01437243</v>
      </c>
      <c r="BD78" s="15" t="n">
        <v>0.01422871</v>
      </c>
      <c r="BE78" s="15" t="n">
        <v>0.01408642</v>
      </c>
      <c r="BF78" s="15" t="n">
        <v>0.01394555</v>
      </c>
      <c r="BG78" s="15" t="n">
        <v>0.0138061</v>
      </c>
      <c r="BH78" s="15" t="n">
        <v>0.01366804</v>
      </c>
      <c r="BI78" s="15" t="n">
        <v>0.01353136</v>
      </c>
      <c r="BJ78" s="15" t="n">
        <v>0.01339604</v>
      </c>
      <c r="BK78" s="15" t="n">
        <v>0.01326208</v>
      </c>
      <c r="BL78" s="15" t="n">
        <v>0.01312946</v>
      </c>
      <c r="BM78" s="15" t="n">
        <v>0.01299817</v>
      </c>
      <c r="BN78" s="15" t="n">
        <v>0.01286819</v>
      </c>
      <c r="BO78" s="15" t="n">
        <v>0.0127395</v>
      </c>
      <c r="BP78" s="15" t="n">
        <v>0.01261211</v>
      </c>
      <c r="BQ78" s="15" t="n">
        <v>0.01248599</v>
      </c>
      <c r="BR78" s="15" t="n">
        <v>0.01236113</v>
      </c>
      <c r="BS78" s="15" t="n">
        <v>0.01223752</v>
      </c>
      <c r="BT78" s="15" t="n">
        <v>0.01211514</v>
      </c>
      <c r="BU78" s="15" t="n">
        <v>0.01199399</v>
      </c>
      <c r="BV78" s="15" t="n">
        <v>0.01187405</v>
      </c>
      <c r="BW78" s="15" t="n">
        <v>0.01175531</v>
      </c>
      <c r="BX78" s="15" t="n">
        <v>0.01163776</v>
      </c>
    </row>
    <row r="79">
      <c r="A79" t="n">
        <v>76</v>
      </c>
      <c r="B79" s="15" t="n">
        <v>0.02750863</v>
      </c>
      <c r="C79" s="15" t="n">
        <v>0.02711919</v>
      </c>
      <c r="D79" s="15" t="n">
        <v>0.02675468</v>
      </c>
      <c r="E79" s="15" t="n">
        <v>0.02641345</v>
      </c>
      <c r="F79" s="15" t="n">
        <v>0.02609356</v>
      </c>
      <c r="G79" s="15" t="n">
        <v>0.02579278</v>
      </c>
      <c r="H79" s="15" t="n">
        <v>0.02550862</v>
      </c>
      <c r="I79" s="15" t="n">
        <v>0.02523838</v>
      </c>
      <c r="J79" s="15" t="n">
        <v>0.02497908</v>
      </c>
      <c r="K79" s="15" t="n">
        <v>0.02472752</v>
      </c>
      <c r="L79" s="15" t="n">
        <v>0.02448024</v>
      </c>
      <c r="M79" s="15" t="n">
        <v>0.02423544</v>
      </c>
      <c r="N79" s="15" t="n">
        <v>0.02399309</v>
      </c>
      <c r="O79" s="15" t="n">
        <v>0.02375316</v>
      </c>
      <c r="P79" s="15" t="n">
        <v>0.02351562</v>
      </c>
      <c r="Q79" s="15" t="n">
        <v>0.02328047</v>
      </c>
      <c r="R79" s="15" t="n">
        <v>0.02304766</v>
      </c>
      <c r="S79" s="15" t="n">
        <v>0.02281719</v>
      </c>
      <c r="T79" s="15" t="n">
        <v>0.02258902</v>
      </c>
      <c r="U79" s="15" t="n">
        <v>0.02236313</v>
      </c>
      <c r="V79" s="15" t="n">
        <v>0.02213949</v>
      </c>
      <c r="W79" s="15" t="n">
        <v>0.0219181</v>
      </c>
      <c r="X79" s="15" t="n">
        <v>0.02169892</v>
      </c>
      <c r="Y79" s="15" t="n">
        <v>0.02148193</v>
      </c>
      <c r="Z79" s="15" t="n">
        <v>0.02126711</v>
      </c>
      <c r="AA79" s="15" t="n">
        <v>0.02105444</v>
      </c>
      <c r="AB79" s="15" t="n">
        <v>0.02084389</v>
      </c>
      <c r="AC79" s="15" t="n">
        <v>0.02063546</v>
      </c>
      <c r="AD79" s="15" t="n">
        <v>0.0204291</v>
      </c>
      <c r="AE79" s="15" t="n">
        <v>0.02022481</v>
      </c>
      <c r="AF79" s="15" t="n">
        <v>0.02002256</v>
      </c>
      <c r="AG79" s="15" t="n">
        <v>0.01982234</v>
      </c>
      <c r="AH79" s="15" t="n">
        <v>0.01962411</v>
      </c>
      <c r="AI79" s="15" t="n">
        <v>0.01942787</v>
      </c>
      <c r="AJ79" s="15" t="n">
        <v>0.01923359</v>
      </c>
      <c r="AK79" s="15" t="n">
        <v>0.01904126</v>
      </c>
      <c r="AL79" s="15" t="n">
        <v>0.01885084</v>
      </c>
      <c r="AM79" s="15" t="n">
        <v>0.01866234</v>
      </c>
      <c r="AN79" s="15" t="n">
        <v>0.01847571</v>
      </c>
      <c r="AO79" s="15" t="n">
        <v>0.01829096</v>
      </c>
      <c r="AP79" s="15" t="n">
        <v>0.01810805</v>
      </c>
      <c r="AQ79" s="15" t="n">
        <v>0.01792697</v>
      </c>
      <c r="AR79" s="15" t="n">
        <v>0.0177477</v>
      </c>
      <c r="AS79" s="15" t="n">
        <v>0.01757022</v>
      </c>
      <c r="AT79" s="15" t="n">
        <v>0.01739452</v>
      </c>
      <c r="AU79" s="15" t="n">
        <v>0.01722057</v>
      </c>
      <c r="AV79" s="15" t="n">
        <v>0.01704837</v>
      </c>
      <c r="AW79" s="15" t="n">
        <v>0.01687788</v>
      </c>
      <c r="AX79" s="15" t="n">
        <v>0.0167091</v>
      </c>
      <c r="AY79" s="15" t="n">
        <v>0.01654201</v>
      </c>
      <c r="AZ79" s="15" t="n">
        <v>0.01637659</v>
      </c>
      <c r="BA79" s="15" t="n">
        <v>0.01621283</v>
      </c>
      <c r="BB79" s="15" t="n">
        <v>0.0160507</v>
      </c>
      <c r="BC79" s="15" t="n">
        <v>0.01589019</v>
      </c>
      <c r="BD79" s="15" t="n">
        <v>0.01573129</v>
      </c>
      <c r="BE79" s="15" t="n">
        <v>0.01557398</v>
      </c>
      <c r="BF79" s="15" t="n">
        <v>0.01541824</v>
      </c>
      <c r="BG79" s="15" t="n">
        <v>0.01526405</v>
      </c>
      <c r="BH79" s="15" t="n">
        <v>0.01511141</v>
      </c>
      <c r="BI79" s="15" t="n">
        <v>0.0149603</v>
      </c>
      <c r="BJ79" s="15" t="n">
        <v>0.0148107</v>
      </c>
      <c r="BK79" s="15" t="n">
        <v>0.01466259</v>
      </c>
      <c r="BL79" s="15" t="n">
        <v>0.01451596</v>
      </c>
      <c r="BM79" s="15" t="n">
        <v>0.0143708</v>
      </c>
      <c r="BN79" s="15" t="n">
        <v>0.0142271</v>
      </c>
      <c r="BO79" s="15" t="n">
        <v>0.01408482</v>
      </c>
      <c r="BP79" s="15" t="n">
        <v>0.01394398</v>
      </c>
      <c r="BQ79" s="15" t="n">
        <v>0.01380454</v>
      </c>
      <c r="BR79" s="15" t="n">
        <v>0.01366649</v>
      </c>
      <c r="BS79" s="15" t="n">
        <v>0.01352983</v>
      </c>
      <c r="BT79" s="15" t="n">
        <v>0.01339453</v>
      </c>
      <c r="BU79" s="15" t="n">
        <v>0.01326058</v>
      </c>
      <c r="BV79" s="15" t="n">
        <v>0.01312798</v>
      </c>
      <c r="BW79" s="15" t="n">
        <v>0.0129967</v>
      </c>
      <c r="BX79" s="15" t="n">
        <v>0.01286673</v>
      </c>
    </row>
    <row r="80">
      <c r="A80" t="n">
        <v>77</v>
      </c>
      <c r="B80" s="15" t="n">
        <v>0.03054405</v>
      </c>
      <c r="C80" s="15" t="n">
        <v>0.03011879</v>
      </c>
      <c r="D80" s="15" t="n">
        <v>0.02971977</v>
      </c>
      <c r="E80" s="15" t="n">
        <v>0.02934534</v>
      </c>
      <c r="F80" s="15" t="n">
        <v>0.0289934</v>
      </c>
      <c r="G80" s="15" t="n">
        <v>0.02866168</v>
      </c>
      <c r="H80" s="15" t="n">
        <v>0.02834758</v>
      </c>
      <c r="I80" s="15" t="n">
        <v>0.02804823</v>
      </c>
      <c r="J80" s="15" t="n">
        <v>0.02776051</v>
      </c>
      <c r="K80" s="15" t="n">
        <v>0.02748105</v>
      </c>
      <c r="L80" s="15" t="n">
        <v>0.02720623</v>
      </c>
      <c r="M80" s="15" t="n">
        <v>0.02693417</v>
      </c>
      <c r="N80" s="15" t="n">
        <v>0.02666483</v>
      </c>
      <c r="O80" s="15" t="n">
        <v>0.02639818</v>
      </c>
      <c r="P80" s="15" t="n">
        <v>0.0261342</v>
      </c>
      <c r="Q80" s="15" t="n">
        <v>0.02587286</v>
      </c>
      <c r="R80" s="15" t="n">
        <v>0.02561413</v>
      </c>
      <c r="S80" s="15" t="n">
        <v>0.02535799</v>
      </c>
      <c r="T80" s="15" t="n">
        <v>0.02510441</v>
      </c>
      <c r="U80" s="15" t="n">
        <v>0.02485336</v>
      </c>
      <c r="V80" s="15" t="n">
        <v>0.02460483</v>
      </c>
      <c r="W80" s="15" t="n">
        <v>0.02435878</v>
      </c>
      <c r="X80" s="15" t="n">
        <v>0.0241152</v>
      </c>
      <c r="Y80" s="15" t="n">
        <v>0.02387404</v>
      </c>
      <c r="Z80" s="15" t="n">
        <v>0.0236353</v>
      </c>
      <c r="AA80" s="15" t="n">
        <v>0.02339895</v>
      </c>
      <c r="AB80" s="15" t="n">
        <v>0.02316496</v>
      </c>
      <c r="AC80" s="15" t="n">
        <v>0.02293331</v>
      </c>
      <c r="AD80" s="15" t="n">
        <v>0.02270398</v>
      </c>
      <c r="AE80" s="15" t="n">
        <v>0.02247694</v>
      </c>
      <c r="AF80" s="15" t="n">
        <v>0.02225217</v>
      </c>
      <c r="AG80" s="15" t="n">
        <v>0.02202965</v>
      </c>
      <c r="AH80" s="15" t="n">
        <v>0.02180935</v>
      </c>
      <c r="AI80" s="15" t="n">
        <v>0.02159126</v>
      </c>
      <c r="AJ80" s="15" t="n">
        <v>0.02137534</v>
      </c>
      <c r="AK80" s="15" t="n">
        <v>0.02116159</v>
      </c>
      <c r="AL80" s="15" t="n">
        <v>0.02094997</v>
      </c>
      <c r="AM80" s="15" t="n">
        <v>0.02074047</v>
      </c>
      <c r="AN80" s="15" t="n">
        <v>0.02053307</v>
      </c>
      <c r="AO80" s="15" t="n">
        <v>0.02032774</v>
      </c>
      <c r="AP80" s="15" t="n">
        <v>0.02012446</v>
      </c>
      <c r="AQ80" s="15" t="n">
        <v>0.01992322</v>
      </c>
      <c r="AR80" s="15" t="n">
        <v>0.01972399</v>
      </c>
      <c r="AS80" s="15" t="n">
        <v>0.01952675</v>
      </c>
      <c r="AT80" s="15" t="n">
        <v>0.01933148</v>
      </c>
      <c r="AU80" s="15" t="n">
        <v>0.01913816</v>
      </c>
      <c r="AV80" s="15" t="n">
        <v>0.01894678</v>
      </c>
      <c r="AW80" s="15" t="n">
        <v>0.01875731</v>
      </c>
      <c r="AX80" s="15" t="n">
        <v>0.01856974</v>
      </c>
      <c r="AY80" s="15" t="n">
        <v>0.01838404</v>
      </c>
      <c r="AZ80" s="15" t="n">
        <v>0.0182002</v>
      </c>
      <c r="BA80" s="15" t="n">
        <v>0.0180182</v>
      </c>
      <c r="BB80" s="15" t="n">
        <v>0.01783802</v>
      </c>
      <c r="BC80" s="15" t="n">
        <v>0.01765964</v>
      </c>
      <c r="BD80" s="15" t="n">
        <v>0.01748304</v>
      </c>
      <c r="BE80" s="15" t="n">
        <v>0.01730821</v>
      </c>
      <c r="BF80" s="15" t="n">
        <v>0.01713513</v>
      </c>
      <c r="BG80" s="15" t="n">
        <v>0.01696378</v>
      </c>
      <c r="BH80" s="15" t="n">
        <v>0.01679414</v>
      </c>
      <c r="BI80" s="15" t="n">
        <v>0.0166262</v>
      </c>
      <c r="BJ80" s="15" t="n">
        <v>0.01645994</v>
      </c>
      <c r="BK80" s="15" t="n">
        <v>0.01629534</v>
      </c>
      <c r="BL80" s="15" t="n">
        <v>0.01613238</v>
      </c>
      <c r="BM80" s="15" t="n">
        <v>0.01597106</v>
      </c>
      <c r="BN80" s="15" t="n">
        <v>0.01581135</v>
      </c>
      <c r="BO80" s="15" t="n">
        <v>0.01565324</v>
      </c>
      <c r="BP80" s="15" t="n">
        <v>0.0154967</v>
      </c>
      <c r="BQ80" s="15" t="n">
        <v>0.01534174</v>
      </c>
      <c r="BR80" s="15" t="n">
        <v>0.01518832</v>
      </c>
      <c r="BS80" s="15" t="n">
        <v>0.01503644</v>
      </c>
      <c r="BT80" s="15" t="n">
        <v>0.01488607</v>
      </c>
      <c r="BU80" s="15" t="n">
        <v>0.01473721</v>
      </c>
      <c r="BV80" s="15" t="n">
        <v>0.01458984</v>
      </c>
      <c r="BW80" s="15" t="n">
        <v>0.01444394</v>
      </c>
      <c r="BX80" s="15" t="n">
        <v>0.0142995</v>
      </c>
    </row>
    <row r="81">
      <c r="A81" t="n">
        <v>78</v>
      </c>
      <c r="B81" s="15" t="n">
        <v>0.03410312</v>
      </c>
      <c r="C81" s="15" t="n">
        <v>0.03363731</v>
      </c>
      <c r="D81" s="15" t="n">
        <v>0.03319905</v>
      </c>
      <c r="E81" s="15" t="n">
        <v>0.03278658</v>
      </c>
      <c r="F81" s="15" t="n">
        <v>0.0323978</v>
      </c>
      <c r="G81" s="15" t="n">
        <v>0.03203028</v>
      </c>
      <c r="H81" s="15" t="n">
        <v>0.03168131</v>
      </c>
      <c r="I81" s="15" t="n">
        <v>0.03134792</v>
      </c>
      <c r="J81" s="15" t="n">
        <v>0.03102689</v>
      </c>
      <c r="K81" s="15" t="n">
        <v>0.0307147</v>
      </c>
      <c r="L81" s="15" t="n">
        <v>0.03040755</v>
      </c>
      <c r="M81" s="15" t="n">
        <v>0.03010347</v>
      </c>
      <c r="N81" s="15" t="n">
        <v>0.02980244</v>
      </c>
      <c r="O81" s="15" t="n">
        <v>0.02950442</v>
      </c>
      <c r="P81" s="15" t="n">
        <v>0.02920937</v>
      </c>
      <c r="Q81" s="15" t="n">
        <v>0.02891728</v>
      </c>
      <c r="R81" s="15" t="n">
        <v>0.02862811</v>
      </c>
      <c r="S81" s="15" t="n">
        <v>0.02834182</v>
      </c>
      <c r="T81" s="15" t="n">
        <v>0.02805841</v>
      </c>
      <c r="U81" s="15" t="n">
        <v>0.02777782</v>
      </c>
      <c r="V81" s="15" t="n">
        <v>0.02750004</v>
      </c>
      <c r="W81" s="15" t="n">
        <v>0.02722504</v>
      </c>
      <c r="X81" s="15" t="n">
        <v>0.02695279</v>
      </c>
      <c r="Y81" s="15" t="n">
        <v>0.02668326</v>
      </c>
      <c r="Z81" s="15" t="n">
        <v>0.02641643</v>
      </c>
      <c r="AA81" s="15" t="n">
        <v>0.02615227</v>
      </c>
      <c r="AB81" s="15" t="n">
        <v>0.02589075</v>
      </c>
      <c r="AC81" s="15" t="n">
        <v>0.02563184</v>
      </c>
      <c r="AD81" s="15" t="n">
        <v>0.02537552</v>
      </c>
      <c r="AE81" s="15" t="n">
        <v>0.02512176</v>
      </c>
      <c r="AF81" s="15" t="n">
        <v>0.02487055</v>
      </c>
      <c r="AG81" s="15" t="n">
        <v>0.02462184</v>
      </c>
      <c r="AH81" s="15" t="n">
        <v>0.02437562</v>
      </c>
      <c r="AI81" s="15" t="n">
        <v>0.02413187</v>
      </c>
      <c r="AJ81" s="15" t="n">
        <v>0.02389055</v>
      </c>
      <c r="AK81" s="15" t="n">
        <v>0.02365164</v>
      </c>
      <c r="AL81" s="15" t="n">
        <v>0.02341513</v>
      </c>
      <c r="AM81" s="15" t="n">
        <v>0.02318097</v>
      </c>
      <c r="AN81" s="15" t="n">
        <v>0.02294916</v>
      </c>
      <c r="AO81" s="15" t="n">
        <v>0.02271967</v>
      </c>
      <c r="AP81" s="15" t="n">
        <v>0.02249248</v>
      </c>
      <c r="AQ81" s="15" t="n">
        <v>0.02226755</v>
      </c>
      <c r="AR81" s="15" t="n">
        <v>0.02204488</v>
      </c>
      <c r="AS81" s="15" t="n">
        <v>0.02182443</v>
      </c>
      <c r="AT81" s="15" t="n">
        <v>0.02160618</v>
      </c>
      <c r="AU81" s="15" t="n">
        <v>0.02139012</v>
      </c>
      <c r="AV81" s="15" t="n">
        <v>0.02117622</v>
      </c>
      <c r="AW81" s="15" t="n">
        <v>0.02096446</v>
      </c>
      <c r="AX81" s="15" t="n">
        <v>0.02075481</v>
      </c>
      <c r="AY81" s="15" t="n">
        <v>0.02054727</v>
      </c>
      <c r="AZ81" s="15" t="n">
        <v>0.02034179</v>
      </c>
      <c r="BA81" s="15" t="n">
        <v>0.02013837</v>
      </c>
      <c r="BB81" s="15" t="n">
        <v>0.01993699</v>
      </c>
      <c r="BC81" s="15" t="n">
        <v>0.01973762</v>
      </c>
      <c r="BD81" s="15" t="n">
        <v>0.01954024</v>
      </c>
      <c r="BE81" s="15" t="n">
        <v>0.01934484</v>
      </c>
      <c r="BF81" s="15" t="n">
        <v>0.01915139</v>
      </c>
      <c r="BG81" s="15" t="n">
        <v>0.01895988</v>
      </c>
      <c r="BH81" s="15" t="n">
        <v>0.01877028</v>
      </c>
      <c r="BI81" s="15" t="n">
        <v>0.01858258</v>
      </c>
      <c r="BJ81" s="15" t="n">
        <v>0.01839675</v>
      </c>
      <c r="BK81" s="15" t="n">
        <v>0.01821278</v>
      </c>
      <c r="BL81" s="15" t="n">
        <v>0.01803066</v>
      </c>
      <c r="BM81" s="15" t="n">
        <v>0.01785035</v>
      </c>
      <c r="BN81" s="15" t="n">
        <v>0.01767185</v>
      </c>
      <c r="BO81" s="15" t="n">
        <v>0.01749513</v>
      </c>
      <c r="BP81" s="15" t="n">
        <v>0.01732018</v>
      </c>
      <c r="BQ81" s="15" t="n">
        <v>0.01714698</v>
      </c>
      <c r="BR81" s="15" t="n">
        <v>0.01697551</v>
      </c>
      <c r="BS81" s="15" t="n">
        <v>0.01680575</v>
      </c>
      <c r="BT81" s="15" t="n">
        <v>0.01663769</v>
      </c>
      <c r="BU81" s="15" t="n">
        <v>0.01647132</v>
      </c>
      <c r="BV81" s="15" t="n">
        <v>0.0163066</v>
      </c>
      <c r="BW81" s="15" t="n">
        <v>0.01614354</v>
      </c>
      <c r="BX81" s="15" t="n">
        <v>0.0159821</v>
      </c>
    </row>
    <row r="82">
      <c r="A82" t="n">
        <v>79</v>
      </c>
      <c r="B82" s="15" t="n">
        <v>0.0382493</v>
      </c>
      <c r="C82" s="15" t="n">
        <v>0.03773806</v>
      </c>
      <c r="D82" s="15" t="n">
        <v>0.03725554</v>
      </c>
      <c r="E82" s="15" t="n">
        <v>0.03679995</v>
      </c>
      <c r="F82" s="15" t="n">
        <v>0.03636906</v>
      </c>
      <c r="G82" s="15" t="n">
        <v>0.03596041</v>
      </c>
      <c r="H82" s="15" t="n">
        <v>0.03557121</v>
      </c>
      <c r="I82" s="15" t="n">
        <v>0.03519839</v>
      </c>
      <c r="J82" s="15" t="n">
        <v>0.03483859</v>
      </c>
      <c r="K82" s="15" t="n">
        <v>0.03448822</v>
      </c>
      <c r="L82" s="15" t="n">
        <v>0.03414334</v>
      </c>
      <c r="M82" s="15" t="n">
        <v>0.03380191</v>
      </c>
      <c r="N82" s="15" t="n">
        <v>0.03346389</v>
      </c>
      <c r="O82" s="15" t="n">
        <v>0.03312925</v>
      </c>
      <c r="P82" s="15" t="n">
        <v>0.03279796</v>
      </c>
      <c r="Q82" s="15" t="n">
        <v>0.03246998</v>
      </c>
      <c r="R82" s="15" t="n">
        <v>0.03214528</v>
      </c>
      <c r="S82" s="15" t="n">
        <v>0.03182382</v>
      </c>
      <c r="T82" s="15" t="n">
        <v>0.03150558</v>
      </c>
      <c r="U82" s="15" t="n">
        <v>0.03119053</v>
      </c>
      <c r="V82" s="15" t="n">
        <v>0.03087862</v>
      </c>
      <c r="W82" s="15" t="n">
        <v>0.03056984</v>
      </c>
      <c r="X82" s="15" t="n">
        <v>0.03026414</v>
      </c>
      <c r="Y82" s="15" t="n">
        <v>0.0299615</v>
      </c>
      <c r="Z82" s="15" t="n">
        <v>0.02966188</v>
      </c>
      <c r="AA82" s="15" t="n">
        <v>0.02936526</v>
      </c>
      <c r="AB82" s="15" t="n">
        <v>0.02907161</v>
      </c>
      <c r="AC82" s="15" t="n">
        <v>0.0287809</v>
      </c>
      <c r="AD82" s="15" t="n">
        <v>0.02849309</v>
      </c>
      <c r="AE82" s="15" t="n">
        <v>0.02820816</v>
      </c>
      <c r="AF82" s="15" t="n">
        <v>0.02792607</v>
      </c>
      <c r="AG82" s="15" t="n">
        <v>0.02764681</v>
      </c>
      <c r="AH82" s="15" t="n">
        <v>0.02737035</v>
      </c>
      <c r="AI82" s="15" t="n">
        <v>0.02709664</v>
      </c>
      <c r="AJ82" s="15" t="n">
        <v>0.02682568</v>
      </c>
      <c r="AK82" s="15" t="n">
        <v>0.02655742</v>
      </c>
      <c r="AL82" s="15" t="n">
        <v>0.02629184</v>
      </c>
      <c r="AM82" s="15" t="n">
        <v>0.02602893</v>
      </c>
      <c r="AN82" s="15" t="n">
        <v>0.02576864</v>
      </c>
      <c r="AO82" s="15" t="n">
        <v>0.02551095</v>
      </c>
      <c r="AP82" s="15" t="n">
        <v>0.02525584</v>
      </c>
      <c r="AQ82" s="15" t="n">
        <v>0.02500328</v>
      </c>
      <c r="AR82" s="15" t="n">
        <v>0.02475325</v>
      </c>
      <c r="AS82" s="15" t="n">
        <v>0.02450572</v>
      </c>
      <c r="AT82" s="15" t="n">
        <v>0.02426066</v>
      </c>
      <c r="AU82" s="15" t="n">
        <v>0.02401805</v>
      </c>
      <c r="AV82" s="15" t="n">
        <v>0.02377787</v>
      </c>
      <c r="AW82" s="15" t="n">
        <v>0.02354009</v>
      </c>
      <c r="AX82" s="15" t="n">
        <v>0.02330469</v>
      </c>
      <c r="AY82" s="15" t="n">
        <v>0.02307165</v>
      </c>
      <c r="AZ82" s="15" t="n">
        <v>0.02284093</v>
      </c>
      <c r="BA82" s="15" t="n">
        <v>0.02261252</v>
      </c>
      <c r="BB82" s="15" t="n">
        <v>0.0223864</v>
      </c>
      <c r="BC82" s="15" t="n">
        <v>0.02216253</v>
      </c>
      <c r="BD82" s="15" t="n">
        <v>0.02194091</v>
      </c>
      <c r="BE82" s="15" t="n">
        <v>0.0217215</v>
      </c>
      <c r="BF82" s="15" t="n">
        <v>0.02150428</v>
      </c>
      <c r="BG82" s="15" t="n">
        <v>0.02128924</v>
      </c>
      <c r="BH82" s="15" t="n">
        <v>0.02107635</v>
      </c>
      <c r="BI82" s="15" t="n">
        <v>0.02086558</v>
      </c>
      <c r="BJ82" s="15" t="n">
        <v>0.02065693</v>
      </c>
      <c r="BK82" s="15" t="n">
        <v>0.02045036</v>
      </c>
      <c r="BL82" s="15" t="n">
        <v>0.02024585</v>
      </c>
      <c r="BM82" s="15" t="n">
        <v>0.0200434</v>
      </c>
      <c r="BN82" s="15" t="n">
        <v>0.01984296</v>
      </c>
      <c r="BO82" s="15" t="n">
        <v>0.01964453</v>
      </c>
      <c r="BP82" s="15" t="n">
        <v>0.01944809</v>
      </c>
      <c r="BQ82" s="15" t="n">
        <v>0.01925361</v>
      </c>
      <c r="BR82" s="15" t="n">
        <v>0.01906107</v>
      </c>
      <c r="BS82" s="15" t="n">
        <v>0.01887046</v>
      </c>
      <c r="BT82" s="15" t="n">
        <v>0.01868175</v>
      </c>
      <c r="BU82" s="15" t="n">
        <v>0.01849494</v>
      </c>
      <c r="BV82" s="15" t="n">
        <v>0.01830999</v>
      </c>
      <c r="BW82" s="15" t="n">
        <v>0.01812689</v>
      </c>
      <c r="BX82" s="15" t="n">
        <v>0.01794562</v>
      </c>
    </row>
    <row r="83">
      <c r="A83" t="n">
        <v>80</v>
      </c>
      <c r="B83" s="15" t="n">
        <v>0.04301171</v>
      </c>
      <c r="C83" s="15" t="n">
        <v>0.04245066</v>
      </c>
      <c r="D83" s="15" t="n">
        <v>0.04191922</v>
      </c>
      <c r="E83" s="15" t="n">
        <v>0.04141552</v>
      </c>
      <c r="F83" s="15" t="n">
        <v>0.04093734</v>
      </c>
      <c r="G83" s="15" t="n">
        <v>0.0404822</v>
      </c>
      <c r="H83" s="15" t="n">
        <v>0.04004726</v>
      </c>
      <c r="I83" s="15" t="n">
        <v>0.03962936</v>
      </c>
      <c r="J83" s="15" t="n">
        <v>0.03922514</v>
      </c>
      <c r="K83" s="15" t="n">
        <v>0.03883085</v>
      </c>
      <c r="L83" s="15" t="n">
        <v>0.03844254</v>
      </c>
      <c r="M83" s="15" t="n">
        <v>0.03805812</v>
      </c>
      <c r="N83" s="15" t="n">
        <v>0.03767754</v>
      </c>
      <c r="O83" s="15" t="n">
        <v>0.03730076</v>
      </c>
      <c r="P83" s="15" t="n">
        <v>0.03692775</v>
      </c>
      <c r="Q83" s="15" t="n">
        <v>0.03655848</v>
      </c>
      <c r="R83" s="15" t="n">
        <v>0.03619289</v>
      </c>
      <c r="S83" s="15" t="n">
        <v>0.03583096</v>
      </c>
      <c r="T83" s="15" t="n">
        <v>0.03547265</v>
      </c>
      <c r="U83" s="15" t="n">
        <v>0.03511793</v>
      </c>
      <c r="V83" s="15" t="n">
        <v>0.03476675</v>
      </c>
      <c r="W83" s="15" t="n">
        <v>0.03441908</v>
      </c>
      <c r="X83" s="15" t="n">
        <v>0.03407489</v>
      </c>
      <c r="Y83" s="15" t="n">
        <v>0.03373414</v>
      </c>
      <c r="Z83" s="15" t="n">
        <v>0.0333968</v>
      </c>
      <c r="AA83" s="15" t="n">
        <v>0.03306283</v>
      </c>
      <c r="AB83" s="15" t="n">
        <v>0.0327322</v>
      </c>
      <c r="AC83" s="15" t="n">
        <v>0.03240488</v>
      </c>
      <c r="AD83" s="15" t="n">
        <v>0.03208083</v>
      </c>
      <c r="AE83" s="15" t="n">
        <v>0.03176002</v>
      </c>
      <c r="AF83" s="15" t="n">
        <v>0.03144242</v>
      </c>
      <c r="AG83" s="15" t="n">
        <v>0.031128</v>
      </c>
      <c r="AH83" s="15" t="n">
        <v>0.03081672</v>
      </c>
      <c r="AI83" s="15" t="n">
        <v>0.03050855</v>
      </c>
      <c r="AJ83" s="15" t="n">
        <v>0.03020347</v>
      </c>
      <c r="AK83" s="15" t="n">
        <v>0.02990143</v>
      </c>
      <c r="AL83" s="15" t="n">
        <v>0.02960242</v>
      </c>
      <c r="AM83" s="15" t="n">
        <v>0.02930639</v>
      </c>
      <c r="AN83" s="15" t="n">
        <v>0.02901333</v>
      </c>
      <c r="AO83" s="15" t="n">
        <v>0.0287232</v>
      </c>
      <c r="AP83" s="15" t="n">
        <v>0.02843596</v>
      </c>
      <c r="AQ83" s="15" t="n">
        <v>0.0281516</v>
      </c>
      <c r="AR83" s="15" t="n">
        <v>0.02787009</v>
      </c>
      <c r="AS83" s="15" t="n">
        <v>0.02759139</v>
      </c>
      <c r="AT83" s="15" t="n">
        <v>0.02731547</v>
      </c>
      <c r="AU83" s="15" t="n">
        <v>0.02704232</v>
      </c>
      <c r="AV83" s="15" t="n">
        <v>0.0267719</v>
      </c>
      <c r="AW83" s="15" t="n">
        <v>0.02650418</v>
      </c>
      <c r="AX83" s="15" t="n">
        <v>0.02623913</v>
      </c>
      <c r="AY83" s="15" t="n">
        <v>0.02597674</v>
      </c>
      <c r="AZ83" s="15" t="n">
        <v>0.02571698</v>
      </c>
      <c r="BA83" s="15" t="n">
        <v>0.02545981</v>
      </c>
      <c r="BB83" s="15" t="n">
        <v>0.02520521</v>
      </c>
      <c r="BC83" s="15" t="n">
        <v>0.02495316</v>
      </c>
      <c r="BD83" s="15" t="n">
        <v>0.02470362</v>
      </c>
      <c r="BE83" s="15" t="n">
        <v>0.02445659</v>
      </c>
      <c r="BF83" s="15" t="n">
        <v>0.02421202</v>
      </c>
      <c r="BG83" s="15" t="n">
        <v>0.0239699</v>
      </c>
      <c r="BH83" s="15" t="n">
        <v>0.0237302</v>
      </c>
      <c r="BI83" s="15" t="n">
        <v>0.0234929</v>
      </c>
      <c r="BJ83" s="15" t="n">
        <v>0.02325797</v>
      </c>
      <c r="BK83" s="15" t="n">
        <v>0.02302539</v>
      </c>
      <c r="BL83" s="15" t="n">
        <v>0.02279514</v>
      </c>
      <c r="BM83" s="15" t="n">
        <v>0.02256719</v>
      </c>
      <c r="BN83" s="15" t="n">
        <v>0.02234151</v>
      </c>
      <c r="BO83" s="15" t="n">
        <v>0.0221181</v>
      </c>
      <c r="BP83" s="15" t="n">
        <v>0.02189692</v>
      </c>
      <c r="BQ83" s="15" t="n">
        <v>0.02167795</v>
      </c>
      <c r="BR83" s="15" t="n">
        <v>0.02146117</v>
      </c>
      <c r="BS83" s="15" t="n">
        <v>0.02124656</v>
      </c>
      <c r="BT83" s="15" t="n">
        <v>0.02103409</v>
      </c>
      <c r="BU83" s="15" t="n">
        <v>0.02082375</v>
      </c>
      <c r="BV83" s="15" t="n">
        <v>0.02061551</v>
      </c>
      <c r="BW83" s="15" t="n">
        <v>0.02040936</v>
      </c>
      <c r="BX83" s="15" t="n">
        <v>0.02020527</v>
      </c>
    </row>
    <row r="84">
      <c r="A84" t="n">
        <v>81</v>
      </c>
      <c r="B84" s="15" t="n">
        <v>0.04839483</v>
      </c>
      <c r="C84" s="15" t="n">
        <v>0.04778022</v>
      </c>
      <c r="D84" s="15" t="n">
        <v>0.04719562</v>
      </c>
      <c r="E84" s="15" t="n">
        <v>0.04663928</v>
      </c>
      <c r="F84" s="15" t="n">
        <v>0.04610895</v>
      </c>
      <c r="G84" s="15" t="n">
        <v>0.04560212</v>
      </c>
      <c r="H84" s="15" t="n">
        <v>0.045116</v>
      </c>
      <c r="I84" s="15" t="n">
        <v>0.04464747</v>
      </c>
      <c r="J84" s="15" t="n">
        <v>0.04419305</v>
      </c>
      <c r="K84" s="15" t="n">
        <v>0.04374908</v>
      </c>
      <c r="L84" s="15" t="n">
        <v>0.04331159</v>
      </c>
      <c r="M84" s="15" t="n">
        <v>0.04287848</v>
      </c>
      <c r="N84" s="15" t="n">
        <v>0.04244969</v>
      </c>
      <c r="O84" s="15" t="n">
        <v>0.0420252</v>
      </c>
      <c r="P84" s="15" t="n">
        <v>0.04160494</v>
      </c>
      <c r="Q84" s="15" t="n">
        <v>0.04118889</v>
      </c>
      <c r="R84" s="15" t="n">
        <v>0.04077701</v>
      </c>
      <c r="S84" s="15" t="n">
        <v>0.04036924</v>
      </c>
      <c r="T84" s="15" t="n">
        <v>0.03996554</v>
      </c>
      <c r="U84" s="15" t="n">
        <v>0.03956589</v>
      </c>
      <c r="V84" s="15" t="n">
        <v>0.03917023</v>
      </c>
      <c r="W84" s="15" t="n">
        <v>0.03877853</v>
      </c>
      <c r="X84" s="15" t="n">
        <v>0.03839074</v>
      </c>
      <c r="Y84" s="15" t="n">
        <v>0.03800683</v>
      </c>
      <c r="Z84" s="15" t="n">
        <v>0.03762677</v>
      </c>
      <c r="AA84" s="15" t="n">
        <v>0.0372505</v>
      </c>
      <c r="AB84" s="15" t="n">
        <v>0.03687799</v>
      </c>
      <c r="AC84" s="15" t="n">
        <v>0.03650921</v>
      </c>
      <c r="AD84" s="15" t="n">
        <v>0.03614412</v>
      </c>
      <c r="AE84" s="15" t="n">
        <v>0.03578268</v>
      </c>
      <c r="AF84" s="15" t="n">
        <v>0.03542485</v>
      </c>
      <c r="AG84" s="15" t="n">
        <v>0.0350706</v>
      </c>
      <c r="AH84" s="15" t="n">
        <v>0.0347199</v>
      </c>
      <c r="AI84" s="15" t="n">
        <v>0.0343727</v>
      </c>
      <c r="AJ84" s="15" t="n">
        <v>0.03402897</v>
      </c>
      <c r="AK84" s="15" t="n">
        <v>0.03368868</v>
      </c>
      <c r="AL84" s="15" t="n">
        <v>0.0333518</v>
      </c>
      <c r="AM84" s="15" t="n">
        <v>0.03301828</v>
      </c>
      <c r="AN84" s="15" t="n">
        <v>0.03268809</v>
      </c>
      <c r="AO84" s="15" t="n">
        <v>0.03236121</v>
      </c>
      <c r="AP84" s="15" t="n">
        <v>0.0320376</v>
      </c>
      <c r="AQ84" s="15" t="n">
        <v>0.03171723</v>
      </c>
      <c r="AR84" s="15" t="n">
        <v>0.03140005</v>
      </c>
      <c r="AS84" s="15" t="n">
        <v>0.03108605</v>
      </c>
      <c r="AT84" s="15" t="n">
        <v>0.03077519</v>
      </c>
      <c r="AU84" s="15" t="n">
        <v>0.03046744</v>
      </c>
      <c r="AV84" s="15" t="n">
        <v>0.03016277</v>
      </c>
      <c r="AW84" s="15" t="n">
        <v>0.02986114</v>
      </c>
      <c r="AX84" s="15" t="n">
        <v>0.02956253</v>
      </c>
      <c r="AY84" s="15" t="n">
        <v>0.0292669</v>
      </c>
      <c r="AZ84" s="15" t="n">
        <v>0.02897423</v>
      </c>
      <c r="BA84" s="15" t="n">
        <v>0.02868449</v>
      </c>
      <c r="BB84" s="15" t="n">
        <v>0.02839765</v>
      </c>
      <c r="BC84" s="15" t="n">
        <v>0.02811367</v>
      </c>
      <c r="BD84" s="15" t="n">
        <v>0.02783253</v>
      </c>
      <c r="BE84" s="15" t="n">
        <v>0.02755421</v>
      </c>
      <c r="BF84" s="15" t="n">
        <v>0.02727867</v>
      </c>
      <c r="BG84" s="15" t="n">
        <v>0.02700588</v>
      </c>
      <c r="BH84" s="15" t="n">
        <v>0.02673582</v>
      </c>
      <c r="BI84" s="15" t="n">
        <v>0.02646846</v>
      </c>
      <c r="BJ84" s="15" t="n">
        <v>0.02620378</v>
      </c>
      <c r="BK84" s="15" t="n">
        <v>0.02594174</v>
      </c>
      <c r="BL84" s="15" t="n">
        <v>0.02568232</v>
      </c>
      <c r="BM84" s="15" t="n">
        <v>0.0254255</v>
      </c>
      <c r="BN84" s="15" t="n">
        <v>0.02517124</v>
      </c>
      <c r="BO84" s="15" t="n">
        <v>0.02491953</v>
      </c>
      <c r="BP84" s="15" t="n">
        <v>0.02467034</v>
      </c>
      <c r="BQ84" s="15" t="n">
        <v>0.02442363</v>
      </c>
      <c r="BR84" s="15" t="n">
        <v>0.0241794</v>
      </c>
      <c r="BS84" s="15" t="n">
        <v>0.0239376</v>
      </c>
      <c r="BT84" s="15" t="n">
        <v>0.02369823</v>
      </c>
      <c r="BU84" s="15" t="n">
        <v>0.02346124</v>
      </c>
      <c r="BV84" s="15" t="n">
        <v>0.02322663</v>
      </c>
      <c r="BW84" s="15" t="n">
        <v>0.02299436</v>
      </c>
      <c r="BX84" s="15" t="n">
        <v>0.02276442</v>
      </c>
    </row>
    <row r="85">
      <c r="A85" t="n">
        <v>82</v>
      </c>
      <c r="B85" s="15" t="n">
        <v>0.0543906</v>
      </c>
      <c r="C85" s="15" t="n">
        <v>0.05371937</v>
      </c>
      <c r="D85" s="15" t="n">
        <v>0.05307812</v>
      </c>
      <c r="E85" s="15" t="n">
        <v>0.05246507</v>
      </c>
      <c r="F85" s="15" t="n">
        <v>0.05187809</v>
      </c>
      <c r="G85" s="15" t="n">
        <v>0.05131469</v>
      </c>
      <c r="H85" s="15" t="n">
        <v>0.05077219</v>
      </c>
      <c r="I85" s="15" t="n">
        <v>0.05024751</v>
      </c>
      <c r="J85" s="15" t="n">
        <v>0.0497373</v>
      </c>
      <c r="K85" s="15" t="n">
        <v>0.04923794</v>
      </c>
      <c r="L85" s="15" t="n">
        <v>0.04874556</v>
      </c>
      <c r="M85" s="15" t="n">
        <v>0.0482581</v>
      </c>
      <c r="N85" s="15" t="n">
        <v>0.04777552</v>
      </c>
      <c r="O85" s="15" t="n">
        <v>0.04729777</v>
      </c>
      <c r="P85" s="15" t="n">
        <v>0.04682479</v>
      </c>
      <c r="Q85" s="15" t="n">
        <v>0.04635654</v>
      </c>
      <c r="R85" s="15" t="n">
        <v>0.04589298</v>
      </c>
      <c r="S85" s="15" t="n">
        <v>0.04543405</v>
      </c>
      <c r="T85" s="15" t="n">
        <v>0.04497971</v>
      </c>
      <c r="U85" s="15" t="n">
        <v>0.04452991</v>
      </c>
      <c r="V85" s="15" t="n">
        <v>0.04408461</v>
      </c>
      <c r="W85" s="15" t="n">
        <v>0.04364376</v>
      </c>
      <c r="X85" s="15" t="n">
        <v>0.04320733</v>
      </c>
      <c r="Y85" s="15" t="n">
        <v>0.04277525</v>
      </c>
      <c r="Z85" s="15" t="n">
        <v>0.0423475</v>
      </c>
      <c r="AA85" s="15" t="n">
        <v>0.04192403</v>
      </c>
      <c r="AB85" s="15" t="n">
        <v>0.04150479</v>
      </c>
      <c r="AC85" s="15" t="n">
        <v>0.04108974</v>
      </c>
      <c r="AD85" s="15" t="n">
        <v>0.04067884</v>
      </c>
      <c r="AE85" s="15" t="n">
        <v>0.04027205</v>
      </c>
      <c r="AF85" s="15" t="n">
        <v>0.03986933</v>
      </c>
      <c r="AG85" s="15" t="n">
        <v>0.03947064</v>
      </c>
      <c r="AH85" s="15" t="n">
        <v>0.03907593</v>
      </c>
      <c r="AI85" s="15" t="n">
        <v>0.03868517</v>
      </c>
      <c r="AJ85" s="15" t="n">
        <v>0.03829832</v>
      </c>
      <c r="AK85" s="15" t="n">
        <v>0.03791534</v>
      </c>
      <c r="AL85" s="15" t="n">
        <v>0.03753618</v>
      </c>
      <c r="AM85" s="15" t="n">
        <v>0.03716082</v>
      </c>
      <c r="AN85" s="15" t="n">
        <v>0.03678921</v>
      </c>
      <c r="AO85" s="15" t="n">
        <v>0.03642132</v>
      </c>
      <c r="AP85" s="15" t="n">
        <v>0.03605711</v>
      </c>
      <c r="AQ85" s="15" t="n">
        <v>0.03569654</v>
      </c>
      <c r="AR85" s="15" t="n">
        <v>0.03533957</v>
      </c>
      <c r="AS85" s="15" t="n">
        <v>0.03498618</v>
      </c>
      <c r="AT85" s="15" t="n">
        <v>0.03463631</v>
      </c>
      <c r="AU85" s="15" t="n">
        <v>0.03428995</v>
      </c>
      <c r="AV85" s="15" t="n">
        <v>0.03394705</v>
      </c>
      <c r="AW85" s="15" t="n">
        <v>0.03360758</v>
      </c>
      <c r="AX85" s="15" t="n">
        <v>0.03327151</v>
      </c>
      <c r="AY85" s="15" t="n">
        <v>0.03293879</v>
      </c>
      <c r="AZ85" s="15" t="n">
        <v>0.0326094</v>
      </c>
      <c r="BA85" s="15" t="n">
        <v>0.03228331</v>
      </c>
      <c r="BB85" s="15" t="n">
        <v>0.03196048</v>
      </c>
      <c r="BC85" s="15" t="n">
        <v>0.03164087</v>
      </c>
      <c r="BD85" s="15" t="n">
        <v>0.03132446</v>
      </c>
      <c r="BE85" s="15" t="n">
        <v>0.03101122</v>
      </c>
      <c r="BF85" s="15" t="n">
        <v>0.03070111</v>
      </c>
      <c r="BG85" s="15" t="n">
        <v>0.03039409</v>
      </c>
      <c r="BH85" s="15" t="n">
        <v>0.03009015</v>
      </c>
      <c r="BI85" s="15" t="n">
        <v>0.02978925</v>
      </c>
      <c r="BJ85" s="15" t="n">
        <v>0.02949136</v>
      </c>
      <c r="BK85" s="15" t="n">
        <v>0.02919645</v>
      </c>
      <c r="BL85" s="15" t="n">
        <v>0.02890448</v>
      </c>
      <c r="BM85" s="15" t="n">
        <v>0.02861544</v>
      </c>
      <c r="BN85" s="15" t="n">
        <v>0.02832928</v>
      </c>
      <c r="BO85" s="15" t="n">
        <v>0.02804599</v>
      </c>
      <c r="BP85" s="15" t="n">
        <v>0.02776553</v>
      </c>
      <c r="BQ85" s="15" t="n">
        <v>0.02748787</v>
      </c>
      <c r="BR85" s="15" t="n">
        <v>0.027213</v>
      </c>
      <c r="BS85" s="15" t="n">
        <v>0.02694087</v>
      </c>
      <c r="BT85" s="15" t="n">
        <v>0.02667146</v>
      </c>
      <c r="BU85" s="15" t="n">
        <v>0.02640474</v>
      </c>
      <c r="BV85" s="15" t="n">
        <v>0.02614069</v>
      </c>
      <c r="BW85" s="15" t="n">
        <v>0.02587929</v>
      </c>
      <c r="BX85" s="15" t="n">
        <v>0.02562049</v>
      </c>
    </row>
    <row r="86">
      <c r="A86" t="n">
        <v>83</v>
      </c>
      <c r="B86" s="15" t="n">
        <v>0.06099404</v>
      </c>
      <c r="C86" s="15" t="n">
        <v>0.06026358</v>
      </c>
      <c r="D86" s="15" t="n">
        <v>0.05956241</v>
      </c>
      <c r="E86" s="15" t="n">
        <v>0.05888882</v>
      </c>
      <c r="F86" s="15" t="n">
        <v>0.05824086</v>
      </c>
      <c r="G86" s="15" t="n">
        <v>0.05761623</v>
      </c>
      <c r="H86" s="15" t="n">
        <v>0.05701224</v>
      </c>
      <c r="I86" s="15" t="n">
        <v>0.05642604</v>
      </c>
      <c r="J86" s="15" t="n">
        <v>0.05585444</v>
      </c>
      <c r="K86" s="15" t="n">
        <v>0.055294</v>
      </c>
      <c r="L86" s="15" t="n">
        <v>0.05474106</v>
      </c>
      <c r="M86" s="15" t="n">
        <v>0.05419365</v>
      </c>
      <c r="N86" s="15" t="n">
        <v>0.05365171</v>
      </c>
      <c r="O86" s="15" t="n">
        <v>0.0531152</v>
      </c>
      <c r="P86" s="15" t="n">
        <v>0.05258404</v>
      </c>
      <c r="Q86" s="15" t="n">
        <v>0.0520582</v>
      </c>
      <c r="R86" s="15" t="n">
        <v>0.05153762</v>
      </c>
      <c r="S86" s="15" t="n">
        <v>0.05102225</v>
      </c>
      <c r="T86" s="15" t="n">
        <v>0.05051202</v>
      </c>
      <c r="U86" s="15" t="n">
        <v>0.0500069</v>
      </c>
      <c r="V86" s="15" t="n">
        <v>0.04950683</v>
      </c>
      <c r="W86" s="15" t="n">
        <v>0.04901177</v>
      </c>
      <c r="X86" s="15" t="n">
        <v>0.04852165</v>
      </c>
      <c r="Y86" s="15" t="n">
        <v>0.04803643</v>
      </c>
      <c r="Z86" s="15" t="n">
        <v>0.04755607</v>
      </c>
      <c r="AA86" s="15" t="n">
        <v>0.04708051</v>
      </c>
      <c r="AB86" s="15" t="n">
        <v>0.0466097</v>
      </c>
      <c r="AC86" s="15" t="n">
        <v>0.0461436</v>
      </c>
      <c r="AD86" s="15" t="n">
        <v>0.04568217</v>
      </c>
      <c r="AE86" s="15" t="n">
        <v>0.04522535</v>
      </c>
      <c r="AF86" s="15" t="n">
        <v>0.04477309</v>
      </c>
      <c r="AG86" s="15" t="n">
        <v>0.04432536</v>
      </c>
      <c r="AH86" s="15" t="n">
        <v>0.04388211</v>
      </c>
      <c r="AI86" s="15" t="n">
        <v>0.04344329</v>
      </c>
      <c r="AJ86" s="15" t="n">
        <v>0.04300885</v>
      </c>
      <c r="AK86" s="15" t="n">
        <v>0.04257877</v>
      </c>
      <c r="AL86" s="15" t="n">
        <v>0.04215298</v>
      </c>
      <c r="AM86" s="15" t="n">
        <v>0.04173145</v>
      </c>
      <c r="AN86" s="15" t="n">
        <v>0.04131413</v>
      </c>
      <c r="AO86" s="15" t="n">
        <v>0.04090099</v>
      </c>
      <c r="AP86" s="15" t="n">
        <v>0.04049198</v>
      </c>
      <c r="AQ86" s="15" t="n">
        <v>0.04008706</v>
      </c>
      <c r="AR86" s="15" t="n">
        <v>0.03968619</v>
      </c>
      <c r="AS86" s="15" t="n">
        <v>0.03928933</v>
      </c>
      <c r="AT86" s="15" t="n">
        <v>0.03889644</v>
      </c>
      <c r="AU86" s="15" t="n">
        <v>0.03850747</v>
      </c>
      <c r="AV86" s="15" t="n">
        <v>0.0381224</v>
      </c>
      <c r="AW86" s="15" t="n">
        <v>0.03774117</v>
      </c>
      <c r="AX86" s="15" t="n">
        <v>0.03736376</v>
      </c>
      <c r="AY86" s="15" t="n">
        <v>0.03699013</v>
      </c>
      <c r="AZ86" s="15" t="n">
        <v>0.03662022</v>
      </c>
      <c r="BA86" s="15" t="n">
        <v>0.03625402</v>
      </c>
      <c r="BB86" s="15" t="n">
        <v>0.03589148</v>
      </c>
      <c r="BC86" s="15" t="n">
        <v>0.03553257</v>
      </c>
      <c r="BD86" s="15" t="n">
        <v>0.03517724</v>
      </c>
      <c r="BE86" s="15" t="n">
        <v>0.03482547</v>
      </c>
      <c r="BF86" s="15" t="n">
        <v>0.03447721</v>
      </c>
      <c r="BG86" s="15" t="n">
        <v>0.03413244</v>
      </c>
      <c r="BH86" s="15" t="n">
        <v>0.03379112</v>
      </c>
      <c r="BI86" s="15" t="n">
        <v>0.03345321</v>
      </c>
      <c r="BJ86" s="15" t="n">
        <v>0.03311867</v>
      </c>
      <c r="BK86" s="15" t="n">
        <v>0.03278749</v>
      </c>
      <c r="BL86" s="15" t="n">
        <v>0.03245961</v>
      </c>
      <c r="BM86" s="15" t="n">
        <v>0.03213502</v>
      </c>
      <c r="BN86" s="15" t="n">
        <v>0.03181367</v>
      </c>
      <c r="BO86" s="15" t="n">
        <v>0.03149553</v>
      </c>
      <c r="BP86" s="15" t="n">
        <v>0.03118057</v>
      </c>
      <c r="BQ86" s="15" t="n">
        <v>0.03086877</v>
      </c>
      <c r="BR86" s="15" t="n">
        <v>0.03056008</v>
      </c>
      <c r="BS86" s="15" t="n">
        <v>0.03025448</v>
      </c>
      <c r="BT86" s="15" t="n">
        <v>0.02995194</v>
      </c>
      <c r="BU86" s="15" t="n">
        <v>0.02965242</v>
      </c>
      <c r="BV86" s="15" t="n">
        <v>0.02935589</v>
      </c>
      <c r="BW86" s="15" t="n">
        <v>0.02906233</v>
      </c>
      <c r="BX86" s="15" t="n">
        <v>0.02877171</v>
      </c>
    </row>
    <row r="87">
      <c r="A87" t="n">
        <v>84</v>
      </c>
      <c r="B87" s="15" t="n">
        <v>0.06821261000000001</v>
      </c>
      <c r="C87" s="15" t="n">
        <v>0.06742039</v>
      </c>
      <c r="D87" s="15" t="n">
        <v>0.06665618</v>
      </c>
      <c r="E87" s="15" t="n">
        <v>0.06591836</v>
      </c>
      <c r="F87" s="15" t="n">
        <v>0.06520519</v>
      </c>
      <c r="G87" s="15" t="n">
        <v>0.06451454</v>
      </c>
      <c r="H87" s="15" t="n">
        <v>0.06384397</v>
      </c>
      <c r="I87" s="15" t="n">
        <v>0.06319085000000001</v>
      </c>
      <c r="J87" s="15" t="n">
        <v>0.06255224</v>
      </c>
      <c r="K87" s="15" t="n">
        <v>0.06192503</v>
      </c>
      <c r="L87" s="15" t="n">
        <v>0.06130578</v>
      </c>
      <c r="M87" s="15" t="n">
        <v>0.06069272</v>
      </c>
      <c r="N87" s="15" t="n">
        <v>0.0600858</v>
      </c>
      <c r="O87" s="15" t="n">
        <v>0.05948494</v>
      </c>
      <c r="P87" s="15" t="n">
        <v>0.05889009</v>
      </c>
      <c r="Q87" s="15" t="n">
        <v>0.05830119</v>
      </c>
      <c r="R87" s="15" t="n">
        <v>0.05771818</v>
      </c>
      <c r="S87" s="15" t="n">
        <v>0.05714099</v>
      </c>
      <c r="T87" s="15" t="n">
        <v>0.05656958</v>
      </c>
      <c r="U87" s="15" t="n">
        <v>0.05600389</v>
      </c>
      <c r="V87" s="15" t="n">
        <v>0.05544385</v>
      </c>
      <c r="W87" s="15" t="n">
        <v>0.05488941</v>
      </c>
      <c r="X87" s="15" t="n">
        <v>0.05434052</v>
      </c>
      <c r="Y87" s="15" t="n">
        <v>0.05379711</v>
      </c>
      <c r="Z87" s="15" t="n">
        <v>0.05325914</v>
      </c>
      <c r="AA87" s="15" t="n">
        <v>0.05272655</v>
      </c>
      <c r="AB87" s="15" t="n">
        <v>0.05219928</v>
      </c>
      <c r="AC87" s="15" t="n">
        <v>0.05167729</v>
      </c>
      <c r="AD87" s="15" t="n">
        <v>0.05116052</v>
      </c>
      <c r="AE87" s="15" t="n">
        <v>0.05064891</v>
      </c>
      <c r="AF87" s="15" t="n">
        <v>0.05014242</v>
      </c>
      <c r="AG87" s="15" t="n">
        <v>0.049641</v>
      </c>
      <c r="AH87" s="15" t="n">
        <v>0.04914459</v>
      </c>
      <c r="AI87" s="15" t="n">
        <v>0.04865314</v>
      </c>
      <c r="AJ87" s="15" t="n">
        <v>0.04816661</v>
      </c>
      <c r="AK87" s="15" t="n">
        <v>0.04768495</v>
      </c>
      <c r="AL87" s="15" t="n">
        <v>0.0472081</v>
      </c>
      <c r="AM87" s="15" t="n">
        <v>0.04673602</v>
      </c>
      <c r="AN87" s="15" t="n">
        <v>0.04626866</v>
      </c>
      <c r="AO87" s="15" t="n">
        <v>0.04580597</v>
      </c>
      <c r="AP87" s="15" t="n">
        <v>0.04534791</v>
      </c>
      <c r="AQ87" s="15" t="n">
        <v>0.04489443</v>
      </c>
      <c r="AR87" s="15" t="n">
        <v>0.04444549</v>
      </c>
      <c r="AS87" s="15" t="n">
        <v>0.04400103</v>
      </c>
      <c r="AT87" s="15" t="n">
        <v>0.04356102</v>
      </c>
      <c r="AU87" s="15" t="n">
        <v>0.04312541</v>
      </c>
      <c r="AV87" s="15" t="n">
        <v>0.04269416</v>
      </c>
      <c r="AW87" s="15" t="n">
        <v>0.04226721</v>
      </c>
      <c r="AX87" s="15" t="n">
        <v>0.04184454</v>
      </c>
      <c r="AY87" s="15" t="n">
        <v>0.0414261</v>
      </c>
      <c r="AZ87" s="15" t="n">
        <v>0.04101184</v>
      </c>
      <c r="BA87" s="15" t="n">
        <v>0.04060172</v>
      </c>
      <c r="BB87" s="15" t="n">
        <v>0.0401957</v>
      </c>
      <c r="BC87" s="15" t="n">
        <v>0.03979374</v>
      </c>
      <c r="BD87" s="15" t="n">
        <v>0.03939581</v>
      </c>
      <c r="BE87" s="15" t="n">
        <v>0.03900185</v>
      </c>
      <c r="BF87" s="15" t="n">
        <v>0.03861183</v>
      </c>
      <c r="BG87" s="15" t="n">
        <v>0.03822571</v>
      </c>
      <c r="BH87" s="15" t="n">
        <v>0.03784345</v>
      </c>
      <c r="BI87" s="15" t="n">
        <v>0.03746502</v>
      </c>
      <c r="BJ87" s="15" t="n">
        <v>0.03709037</v>
      </c>
      <c r="BK87" s="15" t="n">
        <v>0.03671947</v>
      </c>
      <c r="BL87" s="15" t="n">
        <v>0.03635227</v>
      </c>
      <c r="BM87" s="15" t="n">
        <v>0.03598875</v>
      </c>
      <c r="BN87" s="15" t="n">
        <v>0.03562886</v>
      </c>
      <c r="BO87" s="15" t="n">
        <v>0.03527257</v>
      </c>
      <c r="BP87" s="15" t="n">
        <v>0.03491985</v>
      </c>
      <c r="BQ87" s="15" t="n">
        <v>0.03457065</v>
      </c>
      <c r="BR87" s="15" t="n">
        <v>0.03422494</v>
      </c>
      <c r="BS87" s="15" t="n">
        <v>0.03388269</v>
      </c>
      <c r="BT87" s="15" t="n">
        <v>0.03354387</v>
      </c>
      <c r="BU87" s="15" t="n">
        <v>0.03320843</v>
      </c>
      <c r="BV87" s="15" t="n">
        <v>0.03287634</v>
      </c>
      <c r="BW87" s="15" t="n">
        <v>0.03254758</v>
      </c>
      <c r="BX87" s="15" t="n">
        <v>0.0322221</v>
      </c>
    </row>
    <row r="88">
      <c r="A88" t="n">
        <v>85</v>
      </c>
      <c r="B88" s="15" t="n">
        <v>0.07606926999999999</v>
      </c>
      <c r="C88" s="15" t="n">
        <v>0.07521258</v>
      </c>
      <c r="D88" s="15" t="n">
        <v>0.07438193</v>
      </c>
      <c r="E88" s="15" t="n">
        <v>0.073576</v>
      </c>
      <c r="F88" s="15" t="n">
        <v>0.07279315</v>
      </c>
      <c r="G88" s="15" t="n">
        <v>0.07203152</v>
      </c>
      <c r="H88" s="15" t="n">
        <v>0.07128901999999999</v>
      </c>
      <c r="I88" s="15" t="n">
        <v>0.0705633</v>
      </c>
      <c r="J88" s="15" t="n">
        <v>0.06985181</v>
      </c>
      <c r="K88" s="15" t="n">
        <v>0.06915182</v>
      </c>
      <c r="L88" s="15" t="n">
        <v>0.0684603</v>
      </c>
      <c r="M88" s="15" t="n">
        <v>0.06777569999999999</v>
      </c>
      <c r="N88" s="15" t="n">
        <v>0.06709793999999999</v>
      </c>
      <c r="O88" s="15" t="n">
        <v>0.06642695999999999</v>
      </c>
      <c r="P88" s="15" t="n">
        <v>0.06576269</v>
      </c>
      <c r="Q88" s="15" t="n">
        <v>0.06510507</v>
      </c>
      <c r="R88" s="15" t="n">
        <v>0.06445402</v>
      </c>
      <c r="S88" s="15" t="n">
        <v>0.06380948</v>
      </c>
      <c r="T88" s="15" t="n">
        <v>0.06317138</v>
      </c>
      <c r="U88" s="15" t="n">
        <v>0.06253967000000001</v>
      </c>
      <c r="V88" s="15" t="n">
        <v>0.06191427</v>
      </c>
      <c r="W88" s="15" t="n">
        <v>0.06129513</v>
      </c>
      <c r="X88" s="15" t="n">
        <v>0.06068218</v>
      </c>
      <c r="Y88" s="15" t="n">
        <v>0.06007536</v>
      </c>
      <c r="Z88" s="15" t="n">
        <v>0.0594746</v>
      </c>
      <c r="AA88" s="15" t="n">
        <v>0.05887986</v>
      </c>
      <c r="AB88" s="15" t="n">
        <v>0.05829106</v>
      </c>
      <c r="AC88" s="15" t="n">
        <v>0.05770815</v>
      </c>
      <c r="AD88" s="15" t="n">
        <v>0.05713107</v>
      </c>
      <c r="AE88" s="15" t="n">
        <v>0.05655976</v>
      </c>
      <c r="AF88" s="15" t="n">
        <v>0.05599416</v>
      </c>
      <c r="AG88" s="15" t="n">
        <v>0.05543422</v>
      </c>
      <c r="AH88" s="15" t="n">
        <v>0.05487987</v>
      </c>
      <c r="AI88" s="15" t="n">
        <v>0.05433108</v>
      </c>
      <c r="AJ88" s="15" t="n">
        <v>0.05378776</v>
      </c>
      <c r="AK88" s="15" t="n">
        <v>0.05324989</v>
      </c>
      <c r="AL88" s="15" t="n">
        <v>0.05271739</v>
      </c>
      <c r="AM88" s="15" t="n">
        <v>0.05219021</v>
      </c>
      <c r="AN88" s="15" t="n">
        <v>0.05166831</v>
      </c>
      <c r="AO88" s="15" t="n">
        <v>0.05115163</v>
      </c>
      <c r="AP88" s="15" t="n">
        <v>0.05064011</v>
      </c>
      <c r="AQ88" s="15" t="n">
        <v>0.05013371</v>
      </c>
      <c r="AR88" s="15" t="n">
        <v>0.04963237</v>
      </c>
      <c r="AS88" s="15" t="n">
        <v>0.04913605</v>
      </c>
      <c r="AT88" s="15" t="n">
        <v>0.04864469</v>
      </c>
      <c r="AU88" s="15" t="n">
        <v>0.04815824</v>
      </c>
      <c r="AV88" s="15" t="n">
        <v>0.04767666</v>
      </c>
      <c r="AW88" s="15" t="n">
        <v>0.04719989</v>
      </c>
      <c r="AX88" s="15" t="n">
        <v>0.0467279</v>
      </c>
      <c r="AY88" s="15" t="n">
        <v>0.04626062</v>
      </c>
      <c r="AZ88" s="15" t="n">
        <v>0.04579801</v>
      </c>
      <c r="BA88" s="15" t="n">
        <v>0.04534003</v>
      </c>
      <c r="BB88" s="15" t="n">
        <v>0.04488663</v>
      </c>
      <c r="BC88" s="15" t="n">
        <v>0.04443776</v>
      </c>
      <c r="BD88" s="15" t="n">
        <v>0.04399339</v>
      </c>
      <c r="BE88" s="15" t="n">
        <v>0.04355345</v>
      </c>
      <c r="BF88" s="15" t="n">
        <v>0.04311792</v>
      </c>
      <c r="BG88" s="15" t="n">
        <v>0.04268674</v>
      </c>
      <c r="BH88" s="15" t="n">
        <v>0.04225987</v>
      </c>
      <c r="BI88" s="15" t="n">
        <v>0.04183727</v>
      </c>
      <c r="BJ88" s="15" t="n">
        <v>0.0414189</v>
      </c>
      <c r="BK88" s="15" t="n">
        <v>0.04100471</v>
      </c>
      <c r="BL88" s="15" t="n">
        <v>0.04059466</v>
      </c>
      <c r="BM88" s="15" t="n">
        <v>0.04018872</v>
      </c>
      <c r="BN88" s="15" t="n">
        <v>0.03978683</v>
      </c>
      <c r="BO88" s="15" t="n">
        <v>0.03938896</v>
      </c>
      <c r="BP88" s="15" t="n">
        <v>0.03899507</v>
      </c>
      <c r="BQ88" s="15" t="n">
        <v>0.03860512</v>
      </c>
      <c r="BR88" s="15" t="n">
        <v>0.03821907</v>
      </c>
      <c r="BS88" s="15" t="n">
        <v>0.03783688</v>
      </c>
      <c r="BT88" s="15" t="n">
        <v>0.03745851</v>
      </c>
      <c r="BU88" s="15" t="n">
        <v>0.03708392</v>
      </c>
      <c r="BV88" s="15" t="n">
        <v>0.03671309</v>
      </c>
      <c r="BW88" s="15" t="n">
        <v>0.03634595</v>
      </c>
      <c r="BX88" s="15" t="n">
        <v>0.0359825</v>
      </c>
    </row>
    <row r="89">
      <c r="A89" t="n">
        <v>86</v>
      </c>
      <c r="B89" s="15" t="n">
        <v>0.08459998000000001</v>
      </c>
      <c r="C89" s="15" t="n">
        <v>0.08367581</v>
      </c>
      <c r="D89" s="15" t="n">
        <v>0.08277511999999999</v>
      </c>
      <c r="E89" s="15" t="n">
        <v>0.08189679</v>
      </c>
      <c r="F89" s="15" t="n">
        <v>0.08103941000000001</v>
      </c>
      <c r="G89" s="15" t="n">
        <v>0.08020155</v>
      </c>
      <c r="H89" s="15" t="n">
        <v>0.07938149</v>
      </c>
      <c r="I89" s="15" t="n">
        <v>0.07857719000000001</v>
      </c>
      <c r="J89" s="15" t="n">
        <v>0.07778663</v>
      </c>
      <c r="K89" s="15" t="n">
        <v>0.07700752</v>
      </c>
      <c r="L89" s="15" t="n">
        <v>0.07623744</v>
      </c>
      <c r="M89" s="15" t="n">
        <v>0.07547507000000001</v>
      </c>
      <c r="N89" s="15" t="n">
        <v>0.07472032000000001</v>
      </c>
      <c r="O89" s="15" t="n">
        <v>0.07397310999999999</v>
      </c>
      <c r="P89" s="15" t="n">
        <v>0.07323338</v>
      </c>
      <c r="Q89" s="15" t="n">
        <v>0.07250105</v>
      </c>
      <c r="R89" s="15" t="n">
        <v>0.07177604</v>
      </c>
      <c r="S89" s="15" t="n">
        <v>0.07105828</v>
      </c>
      <c r="T89" s="15" t="n">
        <v>0.0703477</v>
      </c>
      <c r="U89" s="15" t="n">
        <v>0.06964422000000001</v>
      </c>
      <c r="V89" s="15" t="n">
        <v>0.06894778</v>
      </c>
      <c r="W89" s="15" t="n">
        <v>0.06825829999999999</v>
      </c>
      <c r="X89" s="15" t="n">
        <v>0.06757572000000001</v>
      </c>
      <c r="Y89" s="15" t="n">
        <v>0.06689995999999999</v>
      </c>
      <c r="Z89" s="15" t="n">
        <v>0.06623096000000001</v>
      </c>
      <c r="AA89" s="15" t="n">
        <v>0.06556865000000001</v>
      </c>
      <c r="AB89" s="15" t="n">
        <v>0.06491296000000001</v>
      </c>
      <c r="AC89" s="15" t="n">
        <v>0.06426382999999999</v>
      </c>
      <c r="AD89" s="15" t="n">
        <v>0.0636212</v>
      </c>
      <c r="AE89" s="15" t="n">
        <v>0.06298498</v>
      </c>
      <c r="AF89" s="15" t="n">
        <v>0.06235513</v>
      </c>
      <c r="AG89" s="15" t="n">
        <v>0.06173158</v>
      </c>
      <c r="AH89" s="15" t="n">
        <v>0.06111427</v>
      </c>
      <c r="AI89" s="15" t="n">
        <v>0.06050312</v>
      </c>
      <c r="AJ89" s="15" t="n">
        <v>0.05989809</v>
      </c>
      <c r="AK89" s="15" t="n">
        <v>0.05929911</v>
      </c>
      <c r="AL89" s="15" t="n">
        <v>0.05870612</v>
      </c>
      <c r="AM89" s="15" t="n">
        <v>0.05811906</v>
      </c>
      <c r="AN89" s="15" t="n">
        <v>0.05753787</v>
      </c>
      <c r="AO89" s="15" t="n">
        <v>0.05696249</v>
      </c>
      <c r="AP89" s="15" t="n">
        <v>0.05639286</v>
      </c>
      <c r="AQ89" s="15" t="n">
        <v>0.05582894</v>
      </c>
      <c r="AR89" s="15" t="n">
        <v>0.05527065</v>
      </c>
      <c r="AS89" s="15" t="n">
        <v>0.05471794</v>
      </c>
      <c r="AT89" s="15" t="n">
        <v>0.05417076</v>
      </c>
      <c r="AU89" s="15" t="n">
        <v>0.05362905</v>
      </c>
      <c r="AV89" s="15" t="n">
        <v>0.05309276</v>
      </c>
      <c r="AW89" s="15" t="n">
        <v>0.05256184</v>
      </c>
      <c r="AX89" s="15" t="n">
        <v>0.05203622</v>
      </c>
      <c r="AY89" s="15" t="n">
        <v>0.05151585</v>
      </c>
      <c r="AZ89" s="15" t="n">
        <v>0.0510007</v>
      </c>
      <c r="BA89" s="15" t="n">
        <v>0.05049069</v>
      </c>
      <c r="BB89" s="15" t="n">
        <v>0.04998578</v>
      </c>
      <c r="BC89" s="15" t="n">
        <v>0.04948592</v>
      </c>
      <c r="BD89" s="15" t="n">
        <v>0.04899107</v>
      </c>
      <c r="BE89" s="15" t="n">
        <v>0.04850115</v>
      </c>
      <c r="BF89" s="15" t="n">
        <v>0.04801614</v>
      </c>
      <c r="BG89" s="15" t="n">
        <v>0.04753598</v>
      </c>
      <c r="BH89" s="15" t="n">
        <v>0.04706062</v>
      </c>
      <c r="BI89" s="15" t="n">
        <v>0.04659002</v>
      </c>
      <c r="BJ89" s="15" t="n">
        <v>0.04612412</v>
      </c>
      <c r="BK89" s="15" t="n">
        <v>0.04566287</v>
      </c>
      <c r="BL89" s="15" t="n">
        <v>0.04520625</v>
      </c>
      <c r="BM89" s="15" t="n">
        <v>0.04475418</v>
      </c>
      <c r="BN89" s="15" t="n">
        <v>0.04430664</v>
      </c>
      <c r="BO89" s="15" t="n">
        <v>0.04386357</v>
      </c>
      <c r="BP89" s="15" t="n">
        <v>0.04342494</v>
      </c>
      <c r="BQ89" s="15" t="n">
        <v>0.04299069</v>
      </c>
      <c r="BR89" s="15" t="n">
        <v>0.04256078</v>
      </c>
      <c r="BS89" s="15" t="n">
        <v>0.04213517</v>
      </c>
      <c r="BT89" s="15" t="n">
        <v>0.04171382</v>
      </c>
      <c r="BU89" s="15" t="n">
        <v>0.04129668</v>
      </c>
      <c r="BV89" s="15" t="n">
        <v>0.04088372</v>
      </c>
      <c r="BW89" s="15" t="n">
        <v>0.04047488</v>
      </c>
      <c r="BX89" s="15" t="n">
        <v>0.04007013</v>
      </c>
    </row>
    <row r="90">
      <c r="A90" t="n">
        <v>87</v>
      </c>
      <c r="B90" s="15" t="n">
        <v>0.09385053</v>
      </c>
      <c r="C90" s="15" t="n">
        <v>0.09285570999999999</v>
      </c>
      <c r="D90" s="15" t="n">
        <v>0.091881</v>
      </c>
      <c r="E90" s="15" t="n">
        <v>0.09092572</v>
      </c>
      <c r="F90" s="15" t="n">
        <v>0.08998882</v>
      </c>
      <c r="G90" s="15" t="n">
        <v>0.08906913</v>
      </c>
      <c r="H90" s="15" t="n">
        <v>0.08816544</v>
      </c>
      <c r="I90" s="15" t="n">
        <v>0.08727629000000001</v>
      </c>
      <c r="J90" s="15" t="n">
        <v>0.08640012</v>
      </c>
      <c r="K90" s="15" t="n">
        <v>0.08553526</v>
      </c>
      <c r="L90" s="15" t="n">
        <v>0.0846799</v>
      </c>
      <c r="M90" s="15" t="n">
        <v>0.08383311</v>
      </c>
      <c r="N90" s="15" t="n">
        <v>0.08299477</v>
      </c>
      <c r="O90" s="15" t="n">
        <v>0.08216482999999999</v>
      </c>
      <c r="P90" s="15" t="n">
        <v>0.08134318</v>
      </c>
      <c r="Q90" s="15" t="n">
        <v>0.08052975</v>
      </c>
      <c r="R90" s="15" t="n">
        <v>0.07972445</v>
      </c>
      <c r="S90" s="15" t="n">
        <v>0.0789272</v>
      </c>
      <c r="T90" s="15" t="n">
        <v>0.07813792999999999</v>
      </c>
      <c r="U90" s="15" t="n">
        <v>0.07735655</v>
      </c>
      <c r="V90" s="15" t="n">
        <v>0.07658299</v>
      </c>
      <c r="W90" s="15" t="n">
        <v>0.07581715999999999</v>
      </c>
      <c r="X90" s="15" t="n">
        <v>0.07505899000000001</v>
      </c>
      <c r="Y90" s="15" t="n">
        <v>0.0743084</v>
      </c>
      <c r="Z90" s="15" t="n">
        <v>0.07356530999999999</v>
      </c>
      <c r="AA90" s="15" t="n">
        <v>0.07282966</v>
      </c>
      <c r="AB90" s="15" t="n">
        <v>0.07210136</v>
      </c>
      <c r="AC90" s="15" t="n">
        <v>0.07138035</v>
      </c>
      <c r="AD90" s="15" t="n">
        <v>0.07066654999999999</v>
      </c>
      <c r="AE90" s="15" t="n">
        <v>0.06995988</v>
      </c>
      <c r="AF90" s="15" t="n">
        <v>0.06926027999999999</v>
      </c>
      <c r="AG90" s="15" t="n">
        <v>0.06856768000000001</v>
      </c>
      <c r="AH90" s="15" t="n">
        <v>0.067882</v>
      </c>
      <c r="AI90" s="15" t="n">
        <v>0.06720318</v>
      </c>
      <c r="AJ90" s="15" t="n">
        <v>0.06653115</v>
      </c>
      <c r="AK90" s="15" t="n">
        <v>0.06586583999999999</v>
      </c>
      <c r="AL90" s="15" t="n">
        <v>0.06520718</v>
      </c>
      <c r="AM90" s="15" t="n">
        <v>0.06455511</v>
      </c>
      <c r="AN90" s="15" t="n">
        <v>0.06390956</v>
      </c>
      <c r="AO90" s="15" t="n">
        <v>0.06327046</v>
      </c>
      <c r="AP90" s="15" t="n">
        <v>0.06263776</v>
      </c>
      <c r="AQ90" s="15" t="n">
        <v>0.06201138</v>
      </c>
      <c r="AR90" s="15" t="n">
        <v>0.06139127</v>
      </c>
      <c r="AS90" s="15" t="n">
        <v>0.06077735</v>
      </c>
      <c r="AT90" s="15" t="n">
        <v>0.06016958</v>
      </c>
      <c r="AU90" s="15" t="n">
        <v>0.05956788</v>
      </c>
      <c r="AV90" s="15" t="n">
        <v>0.0589722</v>
      </c>
      <c r="AW90" s="15" t="n">
        <v>0.05838248</v>
      </c>
      <c r="AX90" s="15" t="n">
        <v>0.05779866</v>
      </c>
      <c r="AY90" s="15" t="n">
        <v>0.05722067</v>
      </c>
      <c r="AZ90" s="15" t="n">
        <v>0.05664846</v>
      </c>
      <c r="BA90" s="15" t="n">
        <v>0.05608198</v>
      </c>
      <c r="BB90" s="15" t="n">
        <v>0.05552116</v>
      </c>
      <c r="BC90" s="15" t="n">
        <v>0.05496595</v>
      </c>
      <c r="BD90" s="15" t="n">
        <v>0.05441629</v>
      </c>
      <c r="BE90" s="15" t="n">
        <v>0.05387213</v>
      </c>
      <c r="BF90" s="15" t="n">
        <v>0.0533334</v>
      </c>
      <c r="BG90" s="15" t="n">
        <v>0.05280007</v>
      </c>
      <c r="BH90" s="15" t="n">
        <v>0.05227207</v>
      </c>
      <c r="BI90" s="15" t="n">
        <v>0.05174935</v>
      </c>
      <c r="BJ90" s="15" t="n">
        <v>0.05123186</v>
      </c>
      <c r="BK90" s="15" t="n">
        <v>0.05071954</v>
      </c>
      <c r="BL90" s="15" t="n">
        <v>0.05021234</v>
      </c>
      <c r="BM90" s="15" t="n">
        <v>0.04971022</v>
      </c>
      <c r="BN90" s="15" t="n">
        <v>0.04921312</v>
      </c>
      <c r="BO90" s="15" t="n">
        <v>0.04872099</v>
      </c>
      <c r="BP90" s="15" t="n">
        <v>0.04823378</v>
      </c>
      <c r="BQ90" s="15" t="n">
        <v>0.04775144</v>
      </c>
      <c r="BR90" s="15" t="n">
        <v>0.04727392</v>
      </c>
      <c r="BS90" s="15" t="n">
        <v>0.04680118</v>
      </c>
      <c r="BT90" s="15" t="n">
        <v>0.04633317</v>
      </c>
      <c r="BU90" s="15" t="n">
        <v>0.04586984</v>
      </c>
      <c r="BV90" s="15" t="n">
        <v>0.04541114</v>
      </c>
      <c r="BW90" s="15" t="n">
        <v>0.04495703</v>
      </c>
      <c r="BX90" s="15" t="n">
        <v>0.04450746</v>
      </c>
    </row>
    <row r="91">
      <c r="A91" t="n">
        <v>88</v>
      </c>
      <c r="B91" s="15" t="n">
        <v>0.10387561</v>
      </c>
      <c r="C91" s="15" t="n">
        <v>0.10280673</v>
      </c>
      <c r="D91" s="15" t="n">
        <v>0.10175399</v>
      </c>
      <c r="E91" s="15" t="n">
        <v>0.10071701</v>
      </c>
      <c r="F91" s="15" t="n">
        <v>0.09969504</v>
      </c>
      <c r="G91" s="15" t="n">
        <v>0.09868752</v>
      </c>
      <c r="H91" s="15" t="n">
        <v>0.09769374</v>
      </c>
      <c r="I91" s="15" t="n">
        <v>0.09671279000000001</v>
      </c>
      <c r="J91" s="15" t="n">
        <v>0.09574383</v>
      </c>
      <c r="K91" s="15" t="n">
        <v>0.09478591</v>
      </c>
      <c r="L91" s="15" t="n">
        <v>0.09383805000000001</v>
      </c>
      <c r="M91" s="15" t="n">
        <v>0.09289967</v>
      </c>
      <c r="N91" s="15" t="n">
        <v>0.09197068</v>
      </c>
      <c r="O91" s="15" t="n">
        <v>0.09105096999999999</v>
      </c>
      <c r="P91" s="15" t="n">
        <v>0.09014046000000001</v>
      </c>
      <c r="Q91" s="15" t="n">
        <v>0.08923905</v>
      </c>
      <c r="R91" s="15" t="n">
        <v>0.08834665999999999</v>
      </c>
      <c r="S91" s="15" t="n">
        <v>0.0874632</v>
      </c>
      <c r="T91" s="15" t="n">
        <v>0.08658857</v>
      </c>
      <c r="U91" s="15" t="n">
        <v>0.08572268</v>
      </c>
      <c r="V91" s="15" t="n">
        <v>0.08486545</v>
      </c>
      <c r="W91" s="15" t="n">
        <v>0.0840168</v>
      </c>
      <c r="X91" s="15" t="n">
        <v>0.08317663</v>
      </c>
      <c r="Y91" s="15" t="n">
        <v>0.08234486000000001</v>
      </c>
      <c r="Z91" s="15" t="n">
        <v>0.08152142</v>
      </c>
      <c r="AA91" s="15" t="n">
        <v>0.08070620000000001</v>
      </c>
      <c r="AB91" s="15" t="n">
        <v>0.07989913999999999</v>
      </c>
      <c r="AC91" s="15" t="n">
        <v>0.07910014999999999</v>
      </c>
      <c r="AD91" s="15" t="n">
        <v>0.07830914999999999</v>
      </c>
      <c r="AE91" s="15" t="n">
        <v>0.07752605</v>
      </c>
      <c r="AF91" s="15" t="n">
        <v>0.07675079</v>
      </c>
      <c r="AG91" s="15" t="n">
        <v>0.07598329</v>
      </c>
      <c r="AH91" s="15" t="n">
        <v>0.07522345</v>
      </c>
      <c r="AI91" s="15" t="n">
        <v>0.07447122</v>
      </c>
      <c r="AJ91" s="15" t="n">
        <v>0.07372651</v>
      </c>
      <c r="AK91" s="15" t="n">
        <v>0.07298924</v>
      </c>
      <c r="AL91" s="15" t="n">
        <v>0.07225935</v>
      </c>
      <c r="AM91" s="15" t="n">
        <v>0.07153676</v>
      </c>
      <c r="AN91" s="15" t="n">
        <v>0.07082139</v>
      </c>
      <c r="AO91" s="15" t="n">
        <v>0.07011317</v>
      </c>
      <c r="AP91" s="15" t="n">
        <v>0.06941203999999999</v>
      </c>
      <c r="AQ91" s="15" t="n">
        <v>0.06871792</v>
      </c>
      <c r="AR91" s="15" t="n">
        <v>0.06803074000000001</v>
      </c>
      <c r="AS91" s="15" t="n">
        <v>0.06735044</v>
      </c>
      <c r="AT91" s="15" t="n">
        <v>0.06667693</v>
      </c>
      <c r="AU91" s="15" t="n">
        <v>0.06601016</v>
      </c>
      <c r="AV91" s="15" t="n">
        <v>0.06535006</v>
      </c>
      <c r="AW91" s="15" t="n">
        <v>0.06469656</v>
      </c>
      <c r="AX91" s="15" t="n">
        <v>0.06404959</v>
      </c>
      <c r="AY91" s="15" t="n">
        <v>0.0634091</v>
      </c>
      <c r="AZ91" s="15" t="n">
        <v>0.06277501000000001</v>
      </c>
      <c r="BA91" s="15" t="n">
        <v>0.06214726</v>
      </c>
      <c r="BB91" s="15" t="n">
        <v>0.06152578</v>
      </c>
      <c r="BC91" s="15" t="n">
        <v>0.06091053</v>
      </c>
      <c r="BD91" s="15" t="n">
        <v>0.06030142</v>
      </c>
      <c r="BE91" s="15" t="n">
        <v>0.05969841</v>
      </c>
      <c r="BF91" s="15" t="n">
        <v>0.05910142</v>
      </c>
      <c r="BG91" s="15" t="n">
        <v>0.05851041</v>
      </c>
      <c r="BH91" s="15" t="n">
        <v>0.0579253</v>
      </c>
      <c r="BI91" s="15" t="n">
        <v>0.05734605</v>
      </c>
      <c r="BJ91" s="15" t="n">
        <v>0.05677259</v>
      </c>
      <c r="BK91" s="15" t="n">
        <v>0.05620487</v>
      </c>
      <c r="BL91" s="15" t="n">
        <v>0.05564282</v>
      </c>
      <c r="BM91" s="15" t="n">
        <v>0.05508639</v>
      </c>
      <c r="BN91" s="15" t="n">
        <v>0.05453552</v>
      </c>
      <c r="BO91" s="15" t="n">
        <v>0.05399017</v>
      </c>
      <c r="BP91" s="15" t="n">
        <v>0.05345027</v>
      </c>
      <c r="BQ91" s="15" t="n">
        <v>0.05291577</v>
      </c>
      <c r="BR91" s="15" t="n">
        <v>0.05238661</v>
      </c>
      <c r="BS91" s="15" t="n">
        <v>0.05186274</v>
      </c>
      <c r="BT91" s="15" t="n">
        <v>0.05134411</v>
      </c>
      <c r="BU91" s="15" t="n">
        <v>0.05083067</v>
      </c>
      <c r="BV91" s="15" t="n">
        <v>0.05032237</v>
      </c>
      <c r="BW91" s="15" t="n">
        <v>0.04981914</v>
      </c>
      <c r="BX91" s="15" t="n">
        <v>0.04932095</v>
      </c>
    </row>
    <row r="92">
      <c r="A92" t="n">
        <v>89</v>
      </c>
      <c r="B92" s="15" t="n">
        <v>0.11473454</v>
      </c>
      <c r="C92" s="15" t="n">
        <v>0.11358869</v>
      </c>
      <c r="D92" s="15" t="n">
        <v>0.11245405</v>
      </c>
      <c r="E92" s="15" t="n">
        <v>0.11133052</v>
      </c>
      <c r="F92" s="15" t="n">
        <v>0.11021799</v>
      </c>
      <c r="G92" s="15" t="n">
        <v>0.10911637</v>
      </c>
      <c r="H92" s="15" t="n">
        <v>0.10802564</v>
      </c>
      <c r="I92" s="15" t="n">
        <v>0.1069456</v>
      </c>
      <c r="J92" s="15" t="n">
        <v>0.10587625</v>
      </c>
      <c r="K92" s="15" t="n">
        <v>0.10481749</v>
      </c>
      <c r="L92" s="15" t="n">
        <v>0.10376931</v>
      </c>
      <c r="M92" s="15" t="n">
        <v>0.10273162</v>
      </c>
      <c r="N92" s="15" t="n">
        <v>0.1017043</v>
      </c>
      <c r="O92" s="15" t="n">
        <v>0.10068726</v>
      </c>
      <c r="P92" s="15" t="n">
        <v>0.09968038999999999</v>
      </c>
      <c r="Q92" s="15" t="n">
        <v>0.09868358000000001</v>
      </c>
      <c r="R92" s="15" t="n">
        <v>0.09769675</v>
      </c>
      <c r="S92" s="15" t="n">
        <v>0.09671978000000001</v>
      </c>
      <c r="T92" s="15" t="n">
        <v>0.09575258</v>
      </c>
      <c r="U92" s="15" t="n">
        <v>0.09479506</v>
      </c>
      <c r="V92" s="15" t="n">
        <v>0.09384711</v>
      </c>
      <c r="W92" s="15" t="n">
        <v>0.09290863000000001</v>
      </c>
      <c r="X92" s="15" t="n">
        <v>0.09197954999999999</v>
      </c>
      <c r="Y92" s="15" t="n">
        <v>0.09105974999999999</v>
      </c>
      <c r="Z92" s="15" t="n">
        <v>0.09014915</v>
      </c>
      <c r="AA92" s="15" t="n">
        <v>0.08924766000000001</v>
      </c>
      <c r="AB92" s="15" t="n">
        <v>0.08835519</v>
      </c>
      <c r="AC92" s="15" t="n">
        <v>0.08747162999999999</v>
      </c>
      <c r="AD92" s="15" t="n">
        <v>0.08659691999999999</v>
      </c>
      <c r="AE92" s="15" t="n">
        <v>0.08573095</v>
      </c>
      <c r="AF92" s="15" t="n">
        <v>0.08487364</v>
      </c>
      <c r="AG92" s="15" t="n">
        <v>0.0840249</v>
      </c>
      <c r="AH92" s="15" t="n">
        <v>0.08318465</v>
      </c>
      <c r="AI92" s="15" t="n">
        <v>0.08235281</v>
      </c>
      <c r="AJ92" s="15" t="n">
        <v>0.08152928</v>
      </c>
      <c r="AK92" s="15" t="n">
        <v>0.08071399</v>
      </c>
      <c r="AL92" s="15" t="n">
        <v>0.07990685</v>
      </c>
      <c r="AM92" s="15" t="n">
        <v>0.07910778</v>
      </c>
      <c r="AN92" s="15" t="n">
        <v>0.0783167</v>
      </c>
      <c r="AO92" s="15" t="n">
        <v>0.07753353</v>
      </c>
      <c r="AP92" s="15" t="n">
        <v>0.0767582</v>
      </c>
      <c r="AQ92" s="15" t="n">
        <v>0.07599061999999999</v>
      </c>
      <c r="AR92" s="15" t="n">
        <v>0.07523071000000001</v>
      </c>
      <c r="AS92" s="15" t="n">
        <v>0.0744784</v>
      </c>
      <c r="AT92" s="15" t="n">
        <v>0.07373362</v>
      </c>
      <c r="AU92" s="15" t="n">
        <v>0.07299628</v>
      </c>
      <c r="AV92" s="15" t="n">
        <v>0.07226632</v>
      </c>
      <c r="AW92" s="15" t="n">
        <v>0.07154366</v>
      </c>
      <c r="AX92" s="15" t="n">
        <v>0.07082822</v>
      </c>
      <c r="AY92" s="15" t="n">
        <v>0.07011994000000001</v>
      </c>
      <c r="AZ92" s="15" t="n">
        <v>0.06941874000000001</v>
      </c>
      <c r="BA92" s="15" t="n">
        <v>0.06872455</v>
      </c>
      <c r="BB92" s="15" t="n">
        <v>0.06803731</v>
      </c>
      <c r="BC92" s="15" t="n">
        <v>0.06735693</v>
      </c>
      <c r="BD92" s="15" t="n">
        <v>0.06668336</v>
      </c>
      <c r="BE92" s="15" t="n">
        <v>0.06601653</v>
      </c>
      <c r="BF92" s="15" t="n">
        <v>0.06535636</v>
      </c>
      <c r="BG92" s="15" t="n">
        <v>0.0647028</v>
      </c>
      <c r="BH92" s="15" t="n">
        <v>0.06405577</v>
      </c>
      <c r="BI92" s="15" t="n">
        <v>0.06341521999999999</v>
      </c>
      <c r="BJ92" s="15" t="n">
        <v>0.06278106</v>
      </c>
      <c r="BK92" s="15" t="n">
        <v>0.06215325</v>
      </c>
      <c r="BL92" s="15" t="n">
        <v>0.06153172</v>
      </c>
      <c r="BM92" s="15" t="n">
        <v>0.0609164</v>
      </c>
      <c r="BN92" s="15" t="n">
        <v>0.06030724</v>
      </c>
      <c r="BO92" s="15" t="n">
        <v>0.05970417</v>
      </c>
      <c r="BP92" s="15" t="n">
        <v>0.05910712</v>
      </c>
      <c r="BQ92" s="15" t="n">
        <v>0.05851605</v>
      </c>
      <c r="BR92" s="15" t="n">
        <v>0.05793089</v>
      </c>
      <c r="BS92" s="15" t="n">
        <v>0.05735158</v>
      </c>
      <c r="BT92" s="15" t="n">
        <v>0.05677807</v>
      </c>
      <c r="BU92" s="15" t="n">
        <v>0.05621029</v>
      </c>
      <c r="BV92" s="15" t="n">
        <v>0.05564818</v>
      </c>
      <c r="BW92" s="15" t="n">
        <v>0.0550917</v>
      </c>
      <c r="BX92" s="15" t="n">
        <v>0.05454079</v>
      </c>
    </row>
    <row r="93">
      <c r="A93" t="n">
        <v>90</v>
      </c>
      <c r="B93" s="15" t="n">
        <v>0.12648702</v>
      </c>
      <c r="C93" s="15" t="n">
        <v>0.12526174</v>
      </c>
      <c r="D93" s="15" t="n">
        <v>0.12404157</v>
      </c>
      <c r="E93" s="15" t="n">
        <v>0.12282695</v>
      </c>
      <c r="F93" s="15" t="n">
        <v>0.12161821</v>
      </c>
      <c r="G93" s="15" t="n">
        <v>0.12041602</v>
      </c>
      <c r="H93" s="15" t="n">
        <v>0.11922113</v>
      </c>
      <c r="I93" s="15" t="n">
        <v>0.11803428</v>
      </c>
      <c r="J93" s="15" t="n">
        <v>0.11685642</v>
      </c>
      <c r="K93" s="15" t="n">
        <v>0.11568844</v>
      </c>
      <c r="L93" s="15" t="n">
        <v>0.11453155</v>
      </c>
      <c r="M93" s="15" t="n">
        <v>0.11338624</v>
      </c>
      <c r="N93" s="15" t="n">
        <v>0.11225237</v>
      </c>
      <c r="O93" s="15" t="n">
        <v>0.11112985</v>
      </c>
      <c r="P93" s="15" t="n">
        <v>0.11001855</v>
      </c>
      <c r="Q93" s="15" t="n">
        <v>0.10891837</v>
      </c>
      <c r="R93" s="15" t="n">
        <v>0.10782918</v>
      </c>
      <c r="S93" s="15" t="n">
        <v>0.10675089</v>
      </c>
      <c r="T93" s="15" t="n">
        <v>0.10568338</v>
      </c>
      <c r="U93" s="15" t="n">
        <v>0.10462655</v>
      </c>
      <c r="V93" s="15" t="n">
        <v>0.10358028</v>
      </c>
      <c r="W93" s="15" t="n">
        <v>0.10254448</v>
      </c>
      <c r="X93" s="15" t="n">
        <v>0.10151904</v>
      </c>
      <c r="Y93" s="15" t="n">
        <v>0.10050385</v>
      </c>
      <c r="Z93" s="15" t="n">
        <v>0.09949880999999999</v>
      </c>
      <c r="AA93" s="15" t="n">
        <v>0.09850382000000001</v>
      </c>
      <c r="AB93" s="15" t="n">
        <v>0.09751878</v>
      </c>
      <c r="AC93" s="15" t="n">
        <v>0.09654359</v>
      </c>
      <c r="AD93" s="15" t="n">
        <v>0.09557816</v>
      </c>
      <c r="AE93" s="15" t="n">
        <v>0.09462238000000001</v>
      </c>
      <c r="AF93" s="15" t="n">
        <v>0.09367615</v>
      </c>
      <c r="AG93" s="15" t="n">
        <v>0.09273939</v>
      </c>
      <c r="AH93" s="15" t="n">
        <v>0.091812</v>
      </c>
      <c r="AI93" s="15" t="n">
        <v>0.09089388</v>
      </c>
      <c r="AJ93" s="15" t="n">
        <v>0.08998494</v>
      </c>
      <c r="AK93" s="15" t="n">
        <v>0.08908509000000001</v>
      </c>
      <c r="AL93" s="15" t="n">
        <v>0.08819423999999999</v>
      </c>
      <c r="AM93" s="15" t="n">
        <v>0.08731229</v>
      </c>
      <c r="AN93" s="15" t="n">
        <v>0.08643917</v>
      </c>
      <c r="AO93" s="15" t="n">
        <v>0.08557478</v>
      </c>
      <c r="AP93" s="15" t="n">
        <v>0.08471903</v>
      </c>
      <c r="AQ93" s="15" t="n">
        <v>0.08387184</v>
      </c>
      <c r="AR93" s="15" t="n">
        <v>0.08303312</v>
      </c>
      <c r="AS93" s="15" t="n">
        <v>0.08220279</v>
      </c>
      <c r="AT93" s="15" t="n">
        <v>0.08138076</v>
      </c>
      <c r="AU93" s="15" t="n">
        <v>0.08056696000000001</v>
      </c>
      <c r="AV93" s="15" t="n">
        <v>0.07976129</v>
      </c>
      <c r="AW93" s="15" t="n">
        <v>0.07896367</v>
      </c>
      <c r="AX93" s="15" t="n">
        <v>0.07817404</v>
      </c>
      <c r="AY93" s="15" t="n">
        <v>0.0773923</v>
      </c>
      <c r="AZ93" s="15" t="n">
        <v>0.07661837000000001</v>
      </c>
      <c r="BA93" s="15" t="n">
        <v>0.07585219</v>
      </c>
      <c r="BB93" s="15" t="n">
        <v>0.07509367</v>
      </c>
      <c r="BC93" s="15" t="n">
        <v>0.07434273</v>
      </c>
      <c r="BD93" s="15" t="n">
        <v>0.07359930000000001</v>
      </c>
      <c r="BE93" s="15" t="n">
        <v>0.07286331</v>
      </c>
      <c r="BF93" s="15" t="n">
        <v>0.07213468000000001</v>
      </c>
      <c r="BG93" s="15" t="n">
        <v>0.07141333</v>
      </c>
      <c r="BH93" s="15" t="n">
        <v>0.0706992</v>
      </c>
      <c r="BI93" s="15" t="n">
        <v>0.06999221</v>
      </c>
      <c r="BJ93" s="15" t="n">
        <v>0.06929228</v>
      </c>
      <c r="BK93" s="15" t="n">
        <v>0.06859936</v>
      </c>
      <c r="BL93" s="15" t="n">
        <v>0.06791337</v>
      </c>
      <c r="BM93" s="15" t="n">
        <v>0.06723423000000001</v>
      </c>
      <c r="BN93" s="15" t="n">
        <v>0.06656189</v>
      </c>
      <c r="BO93" s="15" t="n">
        <v>0.06589627000000001</v>
      </c>
      <c r="BP93" s="15" t="n">
        <v>0.06523731000000001</v>
      </c>
      <c r="BQ93" s="15" t="n">
        <v>0.06458493999999999</v>
      </c>
      <c r="BR93" s="15" t="n">
        <v>0.06393909</v>
      </c>
      <c r="BS93" s="15" t="n">
        <v>0.0632997</v>
      </c>
      <c r="BT93" s="15" t="n">
        <v>0.06266670000000001</v>
      </c>
      <c r="BU93" s="15" t="n">
        <v>0.06204003</v>
      </c>
      <c r="BV93" s="15" t="n">
        <v>0.06141963</v>
      </c>
      <c r="BW93" s="15" t="n">
        <v>0.06080544</v>
      </c>
      <c r="BX93" s="15" t="n">
        <v>0.06019738</v>
      </c>
    </row>
    <row r="94">
      <c r="A94" t="n">
        <v>91</v>
      </c>
      <c r="B94" s="15" t="n">
        <v>0.13929113</v>
      </c>
      <c r="C94" s="15" t="n">
        <v>0.1380318</v>
      </c>
      <c r="D94" s="15" t="n">
        <v>0.13677695</v>
      </c>
      <c r="E94" s="15" t="n">
        <v>0.13552681</v>
      </c>
      <c r="F94" s="15" t="n">
        <v>0.13428199</v>
      </c>
      <c r="G94" s="15" t="n">
        <v>0.13304311</v>
      </c>
      <c r="H94" s="15" t="n">
        <v>0.13181086</v>
      </c>
      <c r="I94" s="15" t="n">
        <v>0.13058621</v>
      </c>
      <c r="J94" s="15" t="n">
        <v>0.12936993</v>
      </c>
      <c r="K94" s="15" t="n">
        <v>0.12816317</v>
      </c>
      <c r="L94" s="15" t="n">
        <v>0.12696702</v>
      </c>
      <c r="M94" s="15" t="n">
        <v>0.12578204</v>
      </c>
      <c r="N94" s="15" t="n">
        <v>0.12460811</v>
      </c>
      <c r="O94" s="15" t="n">
        <v>0.12344514</v>
      </c>
      <c r="P94" s="15" t="n">
        <v>0.12229303</v>
      </c>
      <c r="Q94" s="15" t="n">
        <v>0.12115167</v>
      </c>
      <c r="R94" s="15" t="n">
        <v>0.12002096</v>
      </c>
      <c r="S94" s="15" t="n">
        <v>0.11890081</v>
      </c>
      <c r="T94" s="15" t="n">
        <v>0.1177911</v>
      </c>
      <c r="U94" s="15" t="n">
        <v>0.11669176</v>
      </c>
      <c r="V94" s="15" t="n">
        <v>0.11560268</v>
      </c>
      <c r="W94" s="15" t="n">
        <v>0.11452376</v>
      </c>
      <c r="X94" s="15" t="n">
        <v>0.11345491</v>
      </c>
      <c r="Y94" s="15" t="n">
        <v>0.11239603</v>
      </c>
      <c r="Z94" s="15" t="n">
        <v>0.11134704</v>
      </c>
      <c r="AA94" s="15" t="n">
        <v>0.11030784</v>
      </c>
      <c r="AB94" s="15" t="n">
        <v>0.10927833</v>
      </c>
      <c r="AC94" s="15" t="n">
        <v>0.10825844</v>
      </c>
      <c r="AD94" s="15" t="n">
        <v>0.10724806</v>
      </c>
      <c r="AE94" s="15" t="n">
        <v>0.10624712</v>
      </c>
      <c r="AF94" s="15" t="n">
        <v>0.10525551</v>
      </c>
      <c r="AG94" s="15" t="n">
        <v>0.10427316</v>
      </c>
      <c r="AH94" s="15" t="n">
        <v>0.10329998</v>
      </c>
      <c r="AI94" s="15" t="n">
        <v>0.10233588</v>
      </c>
      <c r="AJ94" s="15" t="n">
        <v>0.10138078</v>
      </c>
      <c r="AK94" s="15" t="n">
        <v>0.1004346</v>
      </c>
      <c r="AL94" s="15" t="n">
        <v>0.09949724</v>
      </c>
      <c r="AM94" s="15" t="n">
        <v>0.09856863</v>
      </c>
      <c r="AN94" s="15" t="n">
        <v>0.09764869</v>
      </c>
      <c r="AO94" s="15" t="n">
        <v>0.09673734</v>
      </c>
      <c r="AP94" s="15" t="n">
        <v>0.09583448999999999</v>
      </c>
      <c r="AQ94" s="15" t="n">
        <v>0.09494006000000001</v>
      </c>
      <c r="AR94" s="15" t="n">
        <v>0.09405399</v>
      </c>
      <c r="AS94" s="15" t="n">
        <v>0.09317618</v>
      </c>
      <c r="AT94" s="15" t="n">
        <v>0.09230657</v>
      </c>
      <c r="AU94" s="15" t="n">
        <v>0.09144507</v>
      </c>
      <c r="AV94" s="15" t="n">
        <v>0.09059161</v>
      </c>
      <c r="AW94" s="15" t="n">
        <v>0.08974612</v>
      </c>
      <c r="AX94" s="15" t="n">
        <v>0.08890852</v>
      </c>
      <c r="AY94" s="15" t="n">
        <v>0.08807874</v>
      </c>
      <c r="AZ94" s="15" t="n">
        <v>0.08725670000000001</v>
      </c>
      <c r="BA94" s="15" t="n">
        <v>0.08644233</v>
      </c>
      <c r="BB94" s="15" t="n">
        <v>0.08563556999999999</v>
      </c>
      <c r="BC94" s="15" t="n">
        <v>0.08483633</v>
      </c>
      <c r="BD94" s="15" t="n">
        <v>0.08404455</v>
      </c>
      <c r="BE94" s="15" t="n">
        <v>0.08326016</v>
      </c>
      <c r="BF94" s="15" t="n">
        <v>0.0824831</v>
      </c>
      <c r="BG94" s="15" t="n">
        <v>0.08171328</v>
      </c>
      <c r="BH94" s="15" t="n">
        <v>0.08095065</v>
      </c>
      <c r="BI94" s="15" t="n">
        <v>0.08019514</v>
      </c>
      <c r="BJ94" s="15" t="n">
        <v>0.07944668000000001</v>
      </c>
      <c r="BK94" s="15" t="n">
        <v>0.0787052</v>
      </c>
      <c r="BL94" s="15" t="n">
        <v>0.07797065</v>
      </c>
      <c r="BM94" s="15" t="n">
        <v>0.07724295</v>
      </c>
      <c r="BN94" s="15" t="n">
        <v>0.07652204</v>
      </c>
      <c r="BO94" s="15" t="n">
        <v>0.07580786</v>
      </c>
      <c r="BP94" s="15" t="n">
        <v>0.07510034</v>
      </c>
      <c r="BQ94" s="15" t="n">
        <v>0.07439943</v>
      </c>
      <c r="BR94" s="15" t="n">
        <v>0.07370506</v>
      </c>
      <c r="BS94" s="15" t="n">
        <v>0.07301717000000001</v>
      </c>
      <c r="BT94" s="15" t="n">
        <v>0.0723357</v>
      </c>
      <c r="BU94" s="15" t="n">
        <v>0.07166059</v>
      </c>
      <c r="BV94" s="15" t="n">
        <v>0.07099179</v>
      </c>
      <c r="BW94" s="15" t="n">
        <v>0.07032922</v>
      </c>
      <c r="BX94" s="15" t="n">
        <v>0.06967284</v>
      </c>
    </row>
    <row r="95">
      <c r="A95" t="n">
        <v>92</v>
      </c>
      <c r="B95" s="15" t="n">
        <v>0.1531014</v>
      </c>
      <c r="C95" s="15" t="n">
        <v>0.15181596</v>
      </c>
      <c r="D95" s="15" t="n">
        <v>0.15053433</v>
      </c>
      <c r="E95" s="15" t="n">
        <v>0.14925675</v>
      </c>
      <c r="F95" s="15" t="n">
        <v>0.14798373</v>
      </c>
      <c r="G95" s="15" t="n">
        <v>0.14671596</v>
      </c>
      <c r="H95" s="15" t="n">
        <v>0.1454542</v>
      </c>
      <c r="I95" s="15" t="n">
        <v>0.14419922</v>
      </c>
      <c r="J95" s="15" t="n">
        <v>0.14295204</v>
      </c>
      <c r="K95" s="15" t="n">
        <v>0.14171379</v>
      </c>
      <c r="L95" s="15" t="n">
        <v>0.14048556</v>
      </c>
      <c r="M95" s="15" t="n">
        <v>0.13926797</v>
      </c>
      <c r="N95" s="15" t="n">
        <v>0.13806093</v>
      </c>
      <c r="O95" s="15" t="n">
        <v>0.13686436</v>
      </c>
      <c r="P95" s="15" t="n">
        <v>0.13567816</v>
      </c>
      <c r="Q95" s="15" t="n">
        <v>0.13450223</v>
      </c>
      <c r="R95" s="15" t="n">
        <v>0.1333365</v>
      </c>
      <c r="S95" s="15" t="n">
        <v>0.13218088</v>
      </c>
      <c r="T95" s="15" t="n">
        <v>0.13103526</v>
      </c>
      <c r="U95" s="15" t="n">
        <v>0.12989958</v>
      </c>
      <c r="V95" s="15" t="n">
        <v>0.12877374</v>
      </c>
      <c r="W95" s="15" t="n">
        <v>0.12765766</v>
      </c>
      <c r="X95" s="15" t="n">
        <v>0.12655125</v>
      </c>
      <c r="Y95" s="15" t="n">
        <v>0.12545443</v>
      </c>
      <c r="Z95" s="15" t="n">
        <v>0.12436712</v>
      </c>
      <c r="AA95" s="15" t="n">
        <v>0.12328923</v>
      </c>
      <c r="AB95" s="15" t="n">
        <v>0.12222068</v>
      </c>
      <c r="AC95" s="15" t="n">
        <v>0.12116139</v>
      </c>
      <c r="AD95" s="15" t="n">
        <v>0.12011129</v>
      </c>
      <c r="AE95" s="15" t="n">
        <v>0.11907028</v>
      </c>
      <c r="AF95" s="15" t="n">
        <v>0.1180383</v>
      </c>
      <c r="AG95" s="15" t="n">
        <v>0.11701526</v>
      </c>
      <c r="AH95" s="15" t="n">
        <v>0.11600109</v>
      </c>
      <c r="AI95" s="15" t="n">
        <v>0.11499571</v>
      </c>
      <c r="AJ95" s="15" t="n">
        <v>0.11399904</v>
      </c>
      <c r="AK95" s="15" t="n">
        <v>0.11301101</v>
      </c>
      <c r="AL95" s="15" t="n">
        <v>0.11203155</v>
      </c>
      <c r="AM95" s="15" t="n">
        <v>0.11106057</v>
      </c>
      <c r="AN95" s="15" t="n">
        <v>0.11009801</v>
      </c>
      <c r="AO95" s="15" t="n">
        <v>0.10914379</v>
      </c>
      <c r="AP95" s="15" t="n">
        <v>0.10819784</v>
      </c>
      <c r="AQ95" s="15" t="n">
        <v>0.10726009</v>
      </c>
      <c r="AR95" s="15" t="n">
        <v>0.10633046</v>
      </c>
      <c r="AS95" s="15" t="n">
        <v>0.1054089</v>
      </c>
      <c r="AT95" s="15" t="n">
        <v>0.10449532</v>
      </c>
      <c r="AU95" s="15" t="n">
        <v>0.10358966</v>
      </c>
      <c r="AV95" s="15" t="n">
        <v>0.10269185</v>
      </c>
      <c r="AW95" s="15" t="n">
        <v>0.10180182</v>
      </c>
      <c r="AX95" s="15" t="n">
        <v>0.1009195</v>
      </c>
      <c r="AY95" s="15" t="n">
        <v>0.10004483</v>
      </c>
      <c r="AZ95" s="15" t="n">
        <v>0.09917774</v>
      </c>
      <c r="BA95" s="15" t="n">
        <v>0.09831817</v>
      </c>
      <c r="BB95" s="15" t="n">
        <v>0.09746605</v>
      </c>
      <c r="BC95" s="15" t="n">
        <v>0.09662131</v>
      </c>
      <c r="BD95" s="15" t="n">
        <v>0.09578389</v>
      </c>
      <c r="BE95" s="15" t="n">
        <v>0.09495373</v>
      </c>
      <c r="BF95" s="15" t="n">
        <v>0.09413077</v>
      </c>
      <c r="BG95" s="15" t="n">
        <v>0.09331494</v>
      </c>
      <c r="BH95" s="15" t="n">
        <v>0.09250617999999999</v>
      </c>
      <c r="BI95" s="15" t="n">
        <v>0.09170441999999999</v>
      </c>
      <c r="BJ95" s="15" t="n">
        <v>0.09090962</v>
      </c>
      <c r="BK95" s="15" t="n">
        <v>0.09012170999999999</v>
      </c>
      <c r="BL95" s="15" t="n">
        <v>0.08934062</v>
      </c>
      <c r="BM95" s="15" t="n">
        <v>0.08856631</v>
      </c>
      <c r="BN95" s="15" t="n">
        <v>0.08779869999999999</v>
      </c>
      <c r="BO95" s="15" t="n">
        <v>0.08703775</v>
      </c>
      <c r="BP95" s="15" t="n">
        <v>0.0862834</v>
      </c>
      <c r="BQ95" s="15" t="n">
        <v>0.08553558</v>
      </c>
      <c r="BR95" s="15" t="n">
        <v>0.08479424000000001</v>
      </c>
      <c r="BS95" s="15" t="n">
        <v>0.08405933</v>
      </c>
      <c r="BT95" s="15" t="n">
        <v>0.08333079</v>
      </c>
      <c r="BU95" s="15" t="n">
        <v>0.08260856</v>
      </c>
      <c r="BV95" s="15" t="n">
        <v>0.08189259</v>
      </c>
      <c r="BW95" s="15" t="n">
        <v>0.08118283</v>
      </c>
      <c r="BX95" s="15" t="n">
        <v>0.08047922</v>
      </c>
    </row>
    <row r="96">
      <c r="A96" t="n">
        <v>93</v>
      </c>
      <c r="B96" s="15" t="n">
        <v>0.16802061</v>
      </c>
      <c r="C96" s="15" t="n">
        <v>0.16671845</v>
      </c>
      <c r="D96" s="15" t="n">
        <v>0.16541921</v>
      </c>
      <c r="E96" s="15" t="n">
        <v>0.16412332</v>
      </c>
      <c r="F96" s="15" t="n">
        <v>0.16283118</v>
      </c>
      <c r="G96" s="15" t="n">
        <v>0.16154351</v>
      </c>
      <c r="H96" s="15" t="n">
        <v>0.16026101</v>
      </c>
      <c r="I96" s="15" t="n">
        <v>0.15898469</v>
      </c>
      <c r="J96" s="15" t="n">
        <v>0.15771552</v>
      </c>
      <c r="K96" s="15" t="n">
        <v>0.15645443</v>
      </c>
      <c r="L96" s="15" t="n">
        <v>0.15520279</v>
      </c>
      <c r="M96" s="15" t="n">
        <v>0.15396117</v>
      </c>
      <c r="N96" s="15" t="n">
        <v>0.15272948</v>
      </c>
      <c r="O96" s="15" t="n">
        <v>0.15150764</v>
      </c>
      <c r="P96" s="15" t="n">
        <v>0.15029558</v>
      </c>
      <c r="Q96" s="15" t="n">
        <v>0.14909322</v>
      </c>
      <c r="R96" s="15" t="n">
        <v>0.14790047</v>
      </c>
      <c r="S96" s="15" t="n">
        <v>0.14671727</v>
      </c>
      <c r="T96" s="15" t="n">
        <v>0.14554353</v>
      </c>
      <c r="U96" s="15" t="n">
        <v>0.14437918</v>
      </c>
      <c r="V96" s="15" t="n">
        <v>0.14322415</v>
      </c>
      <c r="W96" s="15" t="n">
        <v>0.14207835</v>
      </c>
      <c r="X96" s="15" t="n">
        <v>0.14094173</v>
      </c>
      <c r="Y96" s="15" t="n">
        <v>0.13981419</v>
      </c>
      <c r="Z96" s="15" t="n">
        <v>0.13869568</v>
      </c>
      <c r="AA96" s="15" t="n">
        <v>0.13758611</v>
      </c>
      <c r="AB96" s="15" t="n">
        <v>0.13648543</v>
      </c>
      <c r="AC96" s="15" t="n">
        <v>0.13539354</v>
      </c>
      <c r="AD96" s="15" t="n">
        <v>0.13431039</v>
      </c>
      <c r="AE96" s="15" t="n">
        <v>0.13323591</v>
      </c>
      <c r="AF96" s="15" t="n">
        <v>0.13217002</v>
      </c>
      <c r="AG96" s="15" t="n">
        <v>0.13111266</v>
      </c>
      <c r="AH96" s="15" t="n">
        <v>0.13006376</v>
      </c>
      <c r="AI96" s="15" t="n">
        <v>0.12902325</v>
      </c>
      <c r="AJ96" s="15" t="n">
        <v>0.12799107</v>
      </c>
      <c r="AK96" s="15" t="n">
        <v>0.12696714</v>
      </c>
      <c r="AL96" s="15" t="n">
        <v>0.1259514</v>
      </c>
      <c r="AM96" s="15" t="n">
        <v>0.12494379</v>
      </c>
      <c r="AN96" s="15" t="n">
        <v>0.12394424</v>
      </c>
      <c r="AO96" s="15" t="n">
        <v>0.12295268</v>
      </c>
      <c r="AP96" s="15" t="n">
        <v>0.12196906</v>
      </c>
      <c r="AQ96" s="15" t="n">
        <v>0.12099331</v>
      </c>
      <c r="AR96" s="15" t="n">
        <v>0.12002536</v>
      </c>
      <c r="AS96" s="15" t="n">
        <v>0.11906516</v>
      </c>
      <c r="AT96" s="15" t="n">
        <v>0.11811264</v>
      </c>
      <c r="AU96" s="15" t="n">
        <v>0.11716774</v>
      </c>
      <c r="AV96" s="15" t="n">
        <v>0.1162304</v>
      </c>
      <c r="AW96" s="15" t="n">
        <v>0.11530055</v>
      </c>
      <c r="AX96" s="15" t="n">
        <v>0.11437815</v>
      </c>
      <c r="AY96" s="15" t="n">
        <v>0.11346312</v>
      </c>
      <c r="AZ96" s="15" t="n">
        <v>0.11255542</v>
      </c>
      <c r="BA96" s="15" t="n">
        <v>0.11165498</v>
      </c>
      <c r="BB96" s="15" t="n">
        <v>0.11076174</v>
      </c>
      <c r="BC96" s="15" t="n">
        <v>0.10987564</v>
      </c>
      <c r="BD96" s="15" t="n">
        <v>0.10899664</v>
      </c>
      <c r="BE96" s="15" t="n">
        <v>0.10812466</v>
      </c>
      <c r="BF96" s="15" t="n">
        <v>0.10725967</v>
      </c>
      <c r="BG96" s="15" t="n">
        <v>0.10640159</v>
      </c>
      <c r="BH96" s="15" t="n">
        <v>0.10555038</v>
      </c>
      <c r="BI96" s="15" t="n">
        <v>0.10470597</v>
      </c>
      <c r="BJ96" s="15" t="n">
        <v>0.10386833</v>
      </c>
      <c r="BK96" s="15" t="n">
        <v>0.10303738</v>
      </c>
      <c r="BL96" s="15" t="n">
        <v>0.10221308</v>
      </c>
      <c r="BM96" s="15" t="n">
        <v>0.10139538</v>
      </c>
      <c r="BN96" s="15" t="n">
        <v>0.10058421</v>
      </c>
      <c r="BO96" s="15" t="n">
        <v>0.09977954</v>
      </c>
      <c r="BP96" s="15" t="n">
        <v>0.09898129999999999</v>
      </c>
      <c r="BQ96" s="15" t="n">
        <v>0.09818945</v>
      </c>
      <c r="BR96" s="15" t="n">
        <v>0.09740393999999999</v>
      </c>
      <c r="BS96" s="15" t="n">
        <v>0.09662471</v>
      </c>
      <c r="BT96" s="15" t="n">
        <v>0.09585171000000001</v>
      </c>
      <c r="BU96" s="15" t="n">
        <v>0.09508489000000001</v>
      </c>
      <c r="BV96" s="15" t="n">
        <v>0.09432421000000001</v>
      </c>
      <c r="BW96" s="15" t="n">
        <v>0.09356962000000001</v>
      </c>
      <c r="BX96" s="15" t="n">
        <v>0.09282106</v>
      </c>
    </row>
    <row r="97">
      <c r="A97" t="n">
        <v>94</v>
      </c>
      <c r="B97" s="15" t="n">
        <v>0.18414618</v>
      </c>
      <c r="C97" s="15" t="n">
        <v>0.182838</v>
      </c>
      <c r="D97" s="15" t="n">
        <v>0.18153199</v>
      </c>
      <c r="E97" s="15" t="n">
        <v>0.18022841</v>
      </c>
      <c r="F97" s="15" t="n">
        <v>0.17892788</v>
      </c>
      <c r="G97" s="15" t="n">
        <v>0.17763083</v>
      </c>
      <c r="H97" s="15" t="n">
        <v>0.17633821</v>
      </c>
      <c r="I97" s="15" t="n">
        <v>0.17505095</v>
      </c>
      <c r="J97" s="15" t="n">
        <v>0.17376992</v>
      </c>
      <c r="K97" s="15" t="n">
        <v>0.17249636</v>
      </c>
      <c r="L97" s="15" t="n">
        <v>0.17123145</v>
      </c>
      <c r="M97" s="15" t="n">
        <v>0.16997581</v>
      </c>
      <c r="N97" s="15" t="n">
        <v>0.16872937</v>
      </c>
      <c r="O97" s="15" t="n">
        <v>0.16749208</v>
      </c>
      <c r="P97" s="15" t="n">
        <v>0.16626386</v>
      </c>
      <c r="Q97" s="15" t="n">
        <v>0.16504465</v>
      </c>
      <c r="R97" s="15" t="n">
        <v>0.16383438</v>
      </c>
      <c r="S97" s="15" t="n">
        <v>0.16263298</v>
      </c>
      <c r="T97" s="15" t="n">
        <v>0.16144039</v>
      </c>
      <c r="U97" s="15" t="n">
        <v>0.16025655</v>
      </c>
      <c r="V97" s="15" t="n">
        <v>0.15908139</v>
      </c>
      <c r="W97" s="15" t="n">
        <v>0.15791484</v>
      </c>
      <c r="X97" s="15" t="n">
        <v>0.15675686</v>
      </c>
      <c r="Y97" s="15" t="n">
        <v>0.15560736</v>
      </c>
      <c r="Z97" s="15" t="n">
        <v>0.15446629</v>
      </c>
      <c r="AA97" s="15" t="n">
        <v>0.15333359</v>
      </c>
      <c r="AB97" s="15" t="n">
        <v>0.15220919</v>
      </c>
      <c r="AC97" s="15" t="n">
        <v>0.15109304</v>
      </c>
      <c r="AD97" s="15" t="n">
        <v>0.14998508</v>
      </c>
      <c r="AE97" s="15" t="n">
        <v>0.14888524</v>
      </c>
      <c r="AF97" s="15" t="n">
        <v>0.14779346</v>
      </c>
      <c r="AG97" s="15" t="n">
        <v>0.14670969</v>
      </c>
      <c r="AH97" s="15" t="n">
        <v>0.14563387</v>
      </c>
      <c r="AI97" s="15" t="n">
        <v>0.14456594</v>
      </c>
      <c r="AJ97" s="15" t="n">
        <v>0.14350583</v>
      </c>
      <c r="AK97" s="15" t="n">
        <v>0.14245351</v>
      </c>
      <c r="AL97" s="15" t="n">
        <v>0.14140889</v>
      </c>
      <c r="AM97" s="15" t="n">
        <v>0.14037194</v>
      </c>
      <c r="AN97" s="15" t="n">
        <v>0.1393426</v>
      </c>
      <c r="AO97" s="15" t="n">
        <v>0.1383208</v>
      </c>
      <c r="AP97" s="15" t="n">
        <v>0.13730649</v>
      </c>
      <c r="AQ97" s="15" t="n">
        <v>0.13629962</v>
      </c>
      <c r="AR97" s="15" t="n">
        <v>0.13530014</v>
      </c>
      <c r="AS97" s="15" t="n">
        <v>0.13430798</v>
      </c>
      <c r="AT97" s="15" t="n">
        <v>0.1333231</v>
      </c>
      <c r="AU97" s="15" t="n">
        <v>0.13234544</v>
      </c>
      <c r="AV97" s="15" t="n">
        <v>0.13137495</v>
      </c>
      <c r="AW97" s="15" t="n">
        <v>0.13041158</v>
      </c>
      <c r="AX97" s="15" t="n">
        <v>0.12945527</v>
      </c>
      <c r="AY97" s="15" t="n">
        <v>0.12850598</v>
      </c>
      <c r="AZ97" s="15" t="n">
        <v>0.12756364</v>
      </c>
      <c r="BA97" s="15" t="n">
        <v>0.12662822</v>
      </c>
      <c r="BB97" s="15" t="n">
        <v>0.12569965</v>
      </c>
      <c r="BC97" s="15" t="n">
        <v>0.1247779</v>
      </c>
      <c r="BD97" s="15" t="n">
        <v>0.1238629</v>
      </c>
      <c r="BE97" s="15" t="n">
        <v>0.12295461</v>
      </c>
      <c r="BF97" s="15" t="n">
        <v>0.12205299</v>
      </c>
      <c r="BG97" s="15" t="n">
        <v>0.12115797</v>
      </c>
      <c r="BH97" s="15" t="n">
        <v>0.12026952</v>
      </c>
      <c r="BI97" s="15" t="n">
        <v>0.11938759</v>
      </c>
      <c r="BJ97" s="15" t="n">
        <v>0.11851212</v>
      </c>
      <c r="BK97" s="15" t="n">
        <v>0.11764307</v>
      </c>
      <c r="BL97" s="15" t="n">
        <v>0.11678039</v>
      </c>
      <c r="BM97" s="15" t="n">
        <v>0.11592404</v>
      </c>
      <c r="BN97" s="15" t="n">
        <v>0.11507397</v>
      </c>
      <c r="BO97" s="15" t="n">
        <v>0.11423013</v>
      </c>
      <c r="BP97" s="15" t="n">
        <v>0.11339248</v>
      </c>
      <c r="BQ97" s="15" t="n">
        <v>0.11256097</v>
      </c>
      <c r="BR97" s="15" t="n">
        <v>0.11173557</v>
      </c>
      <c r="BS97" s="15" t="n">
        <v>0.11091621</v>
      </c>
      <c r="BT97" s="15" t="n">
        <v>0.11010286</v>
      </c>
      <c r="BU97" s="15" t="n">
        <v>0.10929548</v>
      </c>
      <c r="BV97" s="15" t="n">
        <v>0.10849401</v>
      </c>
      <c r="BW97" s="15" t="n">
        <v>0.10769843</v>
      </c>
      <c r="BX97" s="15" t="n">
        <v>0.10690867</v>
      </c>
    </row>
    <row r="98">
      <c r="A98" t="n">
        <v>95</v>
      </c>
      <c r="B98" s="15" t="n">
        <v>0.20158897</v>
      </c>
      <c r="C98" s="15" t="n">
        <v>0.20028711</v>
      </c>
      <c r="D98" s="15" t="n">
        <v>0.19898644</v>
      </c>
      <c r="E98" s="15" t="n">
        <v>0.19768746</v>
      </c>
      <c r="F98" s="15" t="n">
        <v>0.19639063</v>
      </c>
      <c r="G98" s="15" t="n">
        <v>0.19509642</v>
      </c>
      <c r="H98" s="15" t="n">
        <v>0.19380585</v>
      </c>
      <c r="I98" s="15" t="n">
        <v>0.19251956</v>
      </c>
      <c r="J98" s="15" t="n">
        <v>0.19123873</v>
      </c>
      <c r="K98" s="15" t="n">
        <v>0.18996451</v>
      </c>
      <c r="L98" s="15" t="n">
        <v>0.18869801</v>
      </c>
      <c r="M98" s="15" t="n">
        <v>0.18743996</v>
      </c>
      <c r="N98" s="15" t="n">
        <v>0.1861903</v>
      </c>
      <c r="O98" s="15" t="n">
        <v>0.18494897</v>
      </c>
      <c r="P98" s="15" t="n">
        <v>0.18371592</v>
      </c>
      <c r="Q98" s="15" t="n">
        <v>0.18249108</v>
      </c>
      <c r="R98" s="15" t="n">
        <v>0.18127441</v>
      </c>
      <c r="S98" s="15" t="n">
        <v>0.18006586</v>
      </c>
      <c r="T98" s="15" t="n">
        <v>0.17886536</v>
      </c>
      <c r="U98" s="15" t="n">
        <v>0.17767286</v>
      </c>
      <c r="V98" s="15" t="n">
        <v>0.17648832</v>
      </c>
      <c r="W98" s="15" t="n">
        <v>0.17531167</v>
      </c>
      <c r="X98" s="15" t="n">
        <v>0.17414287</v>
      </c>
      <c r="Y98" s="15" t="n">
        <v>0.17298186</v>
      </c>
      <c r="Z98" s="15" t="n">
        <v>0.17182859</v>
      </c>
      <c r="AA98" s="15" t="n">
        <v>0.17068301</v>
      </c>
      <c r="AB98" s="15" t="n">
        <v>0.16954506</v>
      </c>
      <c r="AC98" s="15" t="n">
        <v>0.16841471</v>
      </c>
      <c r="AD98" s="15" t="n">
        <v>0.16729189</v>
      </c>
      <c r="AE98" s="15" t="n">
        <v>0.16617655</v>
      </c>
      <c r="AF98" s="15" t="n">
        <v>0.16506865</v>
      </c>
      <c r="AG98" s="15" t="n">
        <v>0.16396814</v>
      </c>
      <c r="AH98" s="15" t="n">
        <v>0.16287496</v>
      </c>
      <c r="AI98" s="15" t="n">
        <v>0.16178908</v>
      </c>
      <c r="AJ98" s="15" t="n">
        <v>0.16071043</v>
      </c>
      <c r="AK98" s="15" t="n">
        <v>0.15963897</v>
      </c>
      <c r="AL98" s="15" t="n">
        <v>0.15857466</v>
      </c>
      <c r="AM98" s="15" t="n">
        <v>0.15751744</v>
      </c>
      <c r="AN98" s="15" t="n">
        <v>0.15646727</v>
      </c>
      <c r="AO98" s="15" t="n">
        <v>0.15542411</v>
      </c>
      <c r="AP98" s="15" t="n">
        <v>0.15438789</v>
      </c>
      <c r="AQ98" s="15" t="n">
        <v>0.15335859</v>
      </c>
      <c r="AR98" s="15" t="n">
        <v>0.15233615</v>
      </c>
      <c r="AS98" s="15" t="n">
        <v>0.15132052</v>
      </c>
      <c r="AT98" s="15" t="n">
        <v>0.15031167</v>
      </c>
      <c r="AU98" s="15" t="n">
        <v>0.14930954</v>
      </c>
      <c r="AV98" s="15" t="n">
        <v>0.14831409</v>
      </c>
      <c r="AW98" s="15" t="n">
        <v>0.14732528</v>
      </c>
      <c r="AX98" s="15" t="n">
        <v>0.14634307</v>
      </c>
      <c r="AY98" s="15" t="n">
        <v>0.1453674</v>
      </c>
      <c r="AZ98" s="15" t="n">
        <v>0.14439823</v>
      </c>
      <c r="BA98" s="15" t="n">
        <v>0.14343553</v>
      </c>
      <c r="BB98" s="15" t="n">
        <v>0.14247924</v>
      </c>
      <c r="BC98" s="15" t="n">
        <v>0.14152933</v>
      </c>
      <c r="BD98" s="15" t="n">
        <v>0.14058576</v>
      </c>
      <c r="BE98" s="15" t="n">
        <v>0.13964847</v>
      </c>
      <c r="BF98" s="15" t="n">
        <v>0.13871744</v>
      </c>
      <c r="BG98" s="15" t="n">
        <v>0.13779261</v>
      </c>
      <c r="BH98" s="15" t="n">
        <v>0.13687394</v>
      </c>
      <c r="BI98" s="15" t="n">
        <v>0.13596141</v>
      </c>
      <c r="BJ98" s="15" t="n">
        <v>0.13505495</v>
      </c>
      <c r="BK98" s="15" t="n">
        <v>0.13415454</v>
      </c>
      <c r="BL98" s="15" t="n">
        <v>0.13326013</v>
      </c>
      <c r="BM98" s="15" t="n">
        <v>0.13237169</v>
      </c>
      <c r="BN98" s="15" t="n">
        <v>0.13148916</v>
      </c>
      <c r="BO98" s="15" t="n">
        <v>0.13061253</v>
      </c>
      <c r="BP98" s="15" t="n">
        <v>0.12974173</v>
      </c>
      <c r="BQ98" s="15" t="n">
        <v>0.12887674</v>
      </c>
      <c r="BR98" s="15" t="n">
        <v>0.12801752</v>
      </c>
      <c r="BS98" s="15" t="n">
        <v>0.12716403</v>
      </c>
      <c r="BT98" s="15" t="n">
        <v>0.12631623</v>
      </c>
      <c r="BU98" s="15" t="n">
        <v>0.12547408</v>
      </c>
      <c r="BV98" s="15" t="n">
        <v>0.12463754</v>
      </c>
      <c r="BW98" s="15" t="n">
        <v>0.12380658</v>
      </c>
      <c r="BX98" s="15" t="n">
        <v>0.12298116</v>
      </c>
    </row>
    <row r="99">
      <c r="A99" t="n">
        <v>96</v>
      </c>
      <c r="B99" s="15" t="n">
        <v>0.22027721</v>
      </c>
      <c r="C99" s="15" t="n">
        <v>0.21899696</v>
      </c>
      <c r="D99" s="15" t="n">
        <v>0.21771692</v>
      </c>
      <c r="E99" s="15" t="n">
        <v>0.21643784</v>
      </c>
      <c r="F99" s="15" t="n">
        <v>0.21515999</v>
      </c>
      <c r="G99" s="15" t="n">
        <v>0.21388387</v>
      </c>
      <c r="H99" s="15" t="n">
        <v>0.21261041</v>
      </c>
      <c r="I99" s="15" t="n">
        <v>0.21134049</v>
      </c>
      <c r="J99" s="15" t="n">
        <v>0.21007498</v>
      </c>
      <c r="K99" s="15" t="n">
        <v>0.20881516</v>
      </c>
      <c r="L99" s="15" t="n">
        <v>0.20756227</v>
      </c>
      <c r="M99" s="15" t="n">
        <v>0.2063169</v>
      </c>
      <c r="N99" s="15" t="n">
        <v>0.20507899</v>
      </c>
      <c r="O99" s="15" t="n">
        <v>0.20384852</v>
      </c>
      <c r="P99" s="15" t="n">
        <v>0.20262543</v>
      </c>
      <c r="Q99" s="15" t="n">
        <v>0.20140968</v>
      </c>
      <c r="R99" s="15" t="n">
        <v>0.20020122</v>
      </c>
      <c r="S99" s="15" t="n">
        <v>0.19900001</v>
      </c>
      <c r="T99" s="15" t="n">
        <v>0.19780601</v>
      </c>
      <c r="U99" s="15" t="n">
        <v>0.19661918</v>
      </c>
      <c r="V99" s="15" t="n">
        <v>0.19543946</v>
      </c>
      <c r="W99" s="15" t="n">
        <v>0.19426682</v>
      </c>
      <c r="X99" s="15" t="n">
        <v>0.19310122</v>
      </c>
      <c r="Y99" s="15" t="n">
        <v>0.19194262</v>
      </c>
      <c r="Z99" s="15" t="n">
        <v>0.19079096</v>
      </c>
      <c r="AA99" s="15" t="n">
        <v>0.18964621</v>
      </c>
      <c r="AB99" s="15" t="n">
        <v>0.18850834</v>
      </c>
      <c r="AC99" s="15" t="n">
        <v>0.18737729</v>
      </c>
      <c r="AD99" s="15" t="n">
        <v>0.18625302</v>
      </c>
      <c r="AE99" s="15" t="n">
        <v>0.18513551</v>
      </c>
      <c r="AF99" s="15" t="n">
        <v>0.18402469</v>
      </c>
      <c r="AG99" s="15" t="n">
        <v>0.18292054</v>
      </c>
      <c r="AH99" s="15" t="n">
        <v>0.18182302</v>
      </c>
      <c r="AI99" s="15" t="n">
        <v>0.18073208</v>
      </c>
      <c r="AJ99" s="15" t="n">
        <v>0.17964769</v>
      </c>
      <c r="AK99" s="15" t="n">
        <v>0.1785698</v>
      </c>
      <c r="AL99" s="15" t="n">
        <v>0.17749839</v>
      </c>
      <c r="AM99" s="15" t="n">
        <v>0.17643339</v>
      </c>
      <c r="AN99" s="15" t="n">
        <v>0.17537479</v>
      </c>
      <c r="AO99" s="15" t="n">
        <v>0.17432255</v>
      </c>
      <c r="AP99" s="15" t="n">
        <v>0.17327661</v>
      </c>
      <c r="AQ99" s="15" t="n">
        <v>0.17223695</v>
      </c>
      <c r="AR99" s="15" t="n">
        <v>0.17120353</v>
      </c>
      <c r="AS99" s="15" t="n">
        <v>0.17017631</v>
      </c>
      <c r="AT99" s="15" t="n">
        <v>0.16915525</v>
      </c>
      <c r="AU99" s="15" t="n">
        <v>0.16814032</v>
      </c>
      <c r="AV99" s="15" t="n">
        <v>0.16713148</v>
      </c>
      <c r="AW99" s="15" t="n">
        <v>0.16612869</v>
      </c>
      <c r="AX99" s="15" t="n">
        <v>0.16513192</v>
      </c>
      <c r="AY99" s="15" t="n">
        <v>0.16414112</v>
      </c>
      <c r="AZ99" s="15" t="n">
        <v>0.16315628</v>
      </c>
      <c r="BA99" s="15" t="n">
        <v>0.16217734</v>
      </c>
      <c r="BB99" s="15" t="n">
        <v>0.16120428</v>
      </c>
      <c r="BC99" s="15" t="n">
        <v>0.16023705</v>
      </c>
      <c r="BD99" s="15" t="n">
        <v>0.15927563</v>
      </c>
      <c r="BE99" s="15" t="n">
        <v>0.15831997</v>
      </c>
      <c r="BF99" s="15" t="n">
        <v>0.15737005</v>
      </c>
      <c r="BG99" s="15" t="n">
        <v>0.15642583</v>
      </c>
      <c r="BH99" s="15" t="n">
        <v>0.15548728</v>
      </c>
      <c r="BI99" s="15" t="n">
        <v>0.15455436</v>
      </c>
      <c r="BJ99" s="15" t="n">
        <v>0.15362703</v>
      </c>
      <c r="BK99" s="15" t="n">
        <v>0.15270527</v>
      </c>
      <c r="BL99" s="15" t="n">
        <v>0.15178904</v>
      </c>
      <c r="BM99" s="15" t="n">
        <v>0.1508783</v>
      </c>
      <c r="BN99" s="15" t="n">
        <v>0.14997303</v>
      </c>
      <c r="BO99" s="15" t="n">
        <v>0.14907319</v>
      </c>
      <c r="BP99" s="15" t="n">
        <v>0.14817875</v>
      </c>
      <c r="BQ99" s="15" t="n">
        <v>0.14728968</v>
      </c>
      <c r="BR99" s="15" t="n">
        <v>0.14640594</v>
      </c>
      <c r="BS99" s="15" t="n">
        <v>0.14552751</v>
      </c>
      <c r="BT99" s="15" t="n">
        <v>0.14465434</v>
      </c>
      <c r="BU99" s="15" t="n">
        <v>0.14378642</v>
      </c>
      <c r="BV99" s="15" t="n">
        <v>0.1429237</v>
      </c>
      <c r="BW99" s="15" t="n">
        <v>0.14206616</v>
      </c>
      <c r="BX99" s="15" t="n">
        <v>0.14121376</v>
      </c>
    </row>
    <row r="100">
      <c r="A100" t="n">
        <v>97</v>
      </c>
      <c r="B100" s="15" t="n">
        <v>0.24032133</v>
      </c>
      <c r="C100" s="15" t="n">
        <v>0.23907959</v>
      </c>
      <c r="D100" s="15" t="n">
        <v>0.23783757</v>
      </c>
      <c r="E100" s="15" t="n">
        <v>0.23659534</v>
      </c>
      <c r="F100" s="15" t="n">
        <v>0.23535369</v>
      </c>
      <c r="G100" s="15" t="n">
        <v>0.23411291</v>
      </c>
      <c r="H100" s="15" t="n">
        <v>0.23287398</v>
      </c>
      <c r="I100" s="15" t="n">
        <v>0.23163765</v>
      </c>
      <c r="J100" s="15" t="n">
        <v>0.23040488</v>
      </c>
      <c r="K100" s="15" t="n">
        <v>0.22917682</v>
      </c>
      <c r="L100" s="15" t="n">
        <v>0.22795462</v>
      </c>
      <c r="M100" s="15" t="n">
        <v>0.22673894</v>
      </c>
      <c r="N100" s="15" t="n">
        <v>0.22552974</v>
      </c>
      <c r="O100" s="15" t="n">
        <v>0.22432699</v>
      </c>
      <c r="P100" s="15" t="n">
        <v>0.22313065</v>
      </c>
      <c r="Q100" s="15" t="n">
        <v>0.2219407</v>
      </c>
      <c r="R100" s="15" t="n">
        <v>0.22075709</v>
      </c>
      <c r="S100" s="15" t="n">
        <v>0.21957979</v>
      </c>
      <c r="T100" s="15" t="n">
        <v>0.21840877</v>
      </c>
      <c r="U100" s="15" t="n">
        <v>0.217244</v>
      </c>
      <c r="V100" s="15" t="n">
        <v>0.21608543</v>
      </c>
      <c r="W100" s="15" t="n">
        <v>0.21493305</v>
      </c>
      <c r="X100" s="15" t="n">
        <v>0.21378681</v>
      </c>
      <c r="Y100" s="15" t="n">
        <v>0.21264669</v>
      </c>
      <c r="Z100" s="15" t="n">
        <v>0.21151264</v>
      </c>
      <c r="AA100" s="15" t="n">
        <v>0.21038465</v>
      </c>
      <c r="AB100" s="15" t="n">
        <v>0.20926266</v>
      </c>
      <c r="AC100" s="15" t="n">
        <v>0.20814667</v>
      </c>
      <c r="AD100" s="15" t="n">
        <v>0.20703662</v>
      </c>
      <c r="AE100" s="15" t="n">
        <v>0.20593249</v>
      </c>
      <c r="AF100" s="15" t="n">
        <v>0.20483426</v>
      </c>
      <c r="AG100" s="15" t="n">
        <v>0.20374187</v>
      </c>
      <c r="AH100" s="15" t="n">
        <v>0.20265532</v>
      </c>
      <c r="AI100" s="15" t="n">
        <v>0.20157456</v>
      </c>
      <c r="AJ100" s="15" t="n">
        <v>0.20049956</v>
      </c>
      <c r="AK100" s="15" t="n">
        <v>0.1994303</v>
      </c>
      <c r="AL100" s="15" t="n">
        <v>0.19836674</v>
      </c>
      <c r="AM100" s="15" t="n">
        <v>0.19730885</v>
      </c>
      <c r="AN100" s="15" t="n">
        <v>0.1962566</v>
      </c>
      <c r="AO100" s="15" t="n">
        <v>0.19520996</v>
      </c>
      <c r="AP100" s="15" t="n">
        <v>0.19416891</v>
      </c>
      <c r="AQ100" s="15" t="n">
        <v>0.1931334</v>
      </c>
      <c r="AR100" s="15" t="n">
        <v>0.19210342</v>
      </c>
      <c r="AS100" s="15" t="n">
        <v>0.19107894</v>
      </c>
      <c r="AT100" s="15" t="n">
        <v>0.19005991</v>
      </c>
      <c r="AU100" s="15" t="n">
        <v>0.18904632</v>
      </c>
      <c r="AV100" s="15" t="n">
        <v>0.18803814</v>
      </c>
      <c r="AW100" s="15" t="n">
        <v>0.18703533</v>
      </c>
      <c r="AX100" s="15" t="n">
        <v>0.18603787</v>
      </c>
      <c r="AY100" s="15" t="n">
        <v>0.18504573</v>
      </c>
      <c r="AZ100" s="15" t="n">
        <v>0.18405888</v>
      </c>
      <c r="BA100" s="15" t="n">
        <v>0.1830773</v>
      </c>
      <c r="BB100" s="15" t="n">
        <v>0.18210094</v>
      </c>
      <c r="BC100" s="15" t="n">
        <v>0.1811298</v>
      </c>
      <c r="BD100" s="15" t="n">
        <v>0.18016384</v>
      </c>
      <c r="BE100" s="15" t="n">
        <v>0.17920302</v>
      </c>
      <c r="BF100" s="15" t="n">
        <v>0.17824733</v>
      </c>
      <c r="BG100" s="15" t="n">
        <v>0.17729674</v>
      </c>
      <c r="BH100" s="15" t="n">
        <v>0.17635122</v>
      </c>
      <c r="BI100" s="15" t="n">
        <v>0.17541073</v>
      </c>
      <c r="BJ100" s="15" t="n">
        <v>0.17447527</v>
      </c>
      <c r="BK100" s="15" t="n">
        <v>0.17354479</v>
      </c>
      <c r="BL100" s="15" t="n">
        <v>0.17261928</v>
      </c>
      <c r="BM100" s="15" t="n">
        <v>0.1716987</v>
      </c>
      <c r="BN100" s="15" t="n">
        <v>0.17078303</v>
      </c>
      <c r="BO100" s="15" t="n">
        <v>0.16987224</v>
      </c>
      <c r="BP100" s="15" t="n">
        <v>0.16896632</v>
      </c>
      <c r="BQ100" s="15" t="n">
        <v>0.16806522</v>
      </c>
      <c r="BR100" s="15" t="n">
        <v>0.16716893</v>
      </c>
      <c r="BS100" s="15" t="n">
        <v>0.16627741</v>
      </c>
      <c r="BT100" s="15" t="n">
        <v>0.16539066</v>
      </c>
      <c r="BU100" s="15" t="n">
        <v>0.16450863</v>
      </c>
      <c r="BV100" s="15" t="n">
        <v>0.1636313</v>
      </c>
      <c r="BW100" s="15" t="n">
        <v>0.16275866</v>
      </c>
      <c r="BX100" s="15" t="n">
        <v>0.16189067</v>
      </c>
    </row>
    <row r="101">
      <c r="A101" t="n">
        <v>98</v>
      </c>
      <c r="B101" s="15" t="n">
        <v>0.26177212</v>
      </c>
      <c r="C101" s="15" t="n">
        <v>0.26058864</v>
      </c>
      <c r="D101" s="15" t="n">
        <v>0.25940401</v>
      </c>
      <c r="E101" s="15" t="n">
        <v>0.25821853</v>
      </c>
      <c r="F101" s="15" t="n">
        <v>0.25703279</v>
      </c>
      <c r="G101" s="15" t="n">
        <v>0.2558471</v>
      </c>
      <c r="H101" s="15" t="n">
        <v>0.25466227</v>
      </c>
      <c r="I101" s="15" t="n">
        <v>0.25347911</v>
      </c>
      <c r="J101" s="15" t="n">
        <v>0.25229866</v>
      </c>
      <c r="K101" s="15" t="n">
        <v>0.25112194</v>
      </c>
      <c r="L101" s="15" t="n">
        <v>0.24994995</v>
      </c>
      <c r="M101" s="15" t="n">
        <v>0.24878343</v>
      </c>
      <c r="N101" s="15" t="n">
        <v>0.24762236</v>
      </c>
      <c r="O101" s="15" t="n">
        <v>0.24646671</v>
      </c>
      <c r="P101" s="15" t="n">
        <v>0.24531645</v>
      </c>
      <c r="Q101" s="15" t="n">
        <v>0.24417156</v>
      </c>
      <c r="R101" s="15" t="n">
        <v>0.24303201</v>
      </c>
      <c r="S101" s="15" t="n">
        <v>0.24189778</v>
      </c>
      <c r="T101" s="15" t="n">
        <v>0.24076884</v>
      </c>
      <c r="U101" s="15" t="n">
        <v>0.23964517</v>
      </c>
      <c r="V101" s="15" t="n">
        <v>0.23852675</v>
      </c>
      <c r="W101" s="15" t="n">
        <v>0.23741354</v>
      </c>
      <c r="X101" s="15" t="n">
        <v>0.23630554</v>
      </c>
      <c r="Y101" s="15" t="n">
        <v>0.2352027</v>
      </c>
      <c r="Z101" s="15" t="n">
        <v>0.23410501</v>
      </c>
      <c r="AA101" s="15" t="n">
        <v>0.23301244</v>
      </c>
      <c r="AB101" s="15" t="n">
        <v>0.23192497</v>
      </c>
      <c r="AC101" s="15" t="n">
        <v>0.23084258</v>
      </c>
      <c r="AD101" s="15" t="n">
        <v>0.22976523</v>
      </c>
      <c r="AE101" s="15" t="n">
        <v>0.22869292</v>
      </c>
      <c r="AF101" s="15" t="n">
        <v>0.22762561</v>
      </c>
      <c r="AG101" s="15" t="n">
        <v>0.22656328</v>
      </c>
      <c r="AH101" s="15" t="n">
        <v>0.22550591</v>
      </c>
      <c r="AI101" s="15" t="n">
        <v>0.22445347</v>
      </c>
      <c r="AJ101" s="15" t="n">
        <v>0.22340595</v>
      </c>
      <c r="AK101" s="15" t="n">
        <v>0.22236331</v>
      </c>
      <c r="AL101" s="15" t="n">
        <v>0.22132554</v>
      </c>
      <c r="AM101" s="15" t="n">
        <v>0.22029262</v>
      </c>
      <c r="AN101" s="15" t="n">
        <v>0.21926451</v>
      </c>
      <c r="AO101" s="15" t="n">
        <v>0.2182412</v>
      </c>
      <c r="AP101" s="15" t="n">
        <v>0.21722267</v>
      </c>
      <c r="AQ101" s="15" t="n">
        <v>0.21620889</v>
      </c>
      <c r="AR101" s="15" t="n">
        <v>0.21519985</v>
      </c>
      <c r="AS101" s="15" t="n">
        <v>0.21419551</v>
      </c>
      <c r="AT101" s="15" t="n">
        <v>0.21319586</v>
      </c>
      <c r="AU101" s="15" t="n">
        <v>0.21220087</v>
      </c>
      <c r="AV101" s="15" t="n">
        <v>0.21121053</v>
      </c>
      <c r="AW101" s="15" t="n">
        <v>0.21022481</v>
      </c>
      <c r="AX101" s="15" t="n">
        <v>0.20924369</v>
      </c>
      <c r="AY101" s="15" t="n">
        <v>0.20826715</v>
      </c>
      <c r="AZ101" s="15" t="n">
        <v>0.20729517</v>
      </c>
      <c r="BA101" s="15" t="n">
        <v>0.20632772</v>
      </c>
      <c r="BB101" s="15" t="n">
        <v>0.20536479</v>
      </c>
      <c r="BC101" s="15" t="n">
        <v>0.20440636</v>
      </c>
      <c r="BD101" s="15" t="n">
        <v>0.20345239</v>
      </c>
      <c r="BE101" s="15" t="n">
        <v>0.20250288</v>
      </c>
      <c r="BF101" s="15" t="n">
        <v>0.2015578</v>
      </c>
      <c r="BG101" s="15" t="n">
        <v>0.20061713</v>
      </c>
      <c r="BH101" s="15" t="n">
        <v>0.19968085</v>
      </c>
      <c r="BI101" s="15" t="n">
        <v>0.19874894</v>
      </c>
      <c r="BJ101" s="15" t="n">
        <v>0.19782138</v>
      </c>
      <c r="BK101" s="15" t="n">
        <v>0.19689814</v>
      </c>
      <c r="BL101" s="15" t="n">
        <v>0.19597922</v>
      </c>
      <c r="BM101" s="15" t="n">
        <v>0.19506458</v>
      </c>
      <c r="BN101" s="15" t="n">
        <v>0.19415422</v>
      </c>
      <c r="BO101" s="15" t="n">
        <v>0.1932481</v>
      </c>
      <c r="BP101" s="15" t="n">
        <v>0.19234621</v>
      </c>
      <c r="BQ101" s="15" t="n">
        <v>0.19144853</v>
      </c>
      <c r="BR101" s="15" t="n">
        <v>0.19055504</v>
      </c>
      <c r="BS101" s="15" t="n">
        <v>0.18966572</v>
      </c>
      <c r="BT101" s="15" t="n">
        <v>0.18878055</v>
      </c>
      <c r="BU101" s="15" t="n">
        <v>0.18789951</v>
      </c>
      <c r="BV101" s="15" t="n">
        <v>0.18702259</v>
      </c>
      <c r="BW101" s="15" t="n">
        <v>0.18614975</v>
      </c>
      <c r="BX101" s="15" t="n">
        <v>0.18528099</v>
      </c>
    </row>
    <row r="102">
      <c r="A102" t="n">
        <v>99</v>
      </c>
      <c r="B102" s="15" t="n">
        <v>0.28467426</v>
      </c>
      <c r="C102" s="15" t="n">
        <v>0.28357114</v>
      </c>
      <c r="D102" s="15" t="n">
        <v>0.28246635</v>
      </c>
      <c r="E102" s="15" t="n">
        <v>0.28135993</v>
      </c>
      <c r="F102" s="15" t="n">
        <v>0.2802525</v>
      </c>
      <c r="G102" s="15" t="n">
        <v>0.27914438</v>
      </c>
      <c r="H102" s="15" t="n">
        <v>0.27803646</v>
      </c>
      <c r="I102" s="15" t="n">
        <v>0.27692931</v>
      </c>
      <c r="J102" s="15" t="n">
        <v>0.27582381</v>
      </c>
      <c r="K102" s="15" t="n">
        <v>0.27472107</v>
      </c>
      <c r="L102" s="15" t="n">
        <v>0.27362219</v>
      </c>
      <c r="M102" s="15" t="n">
        <v>0.2725277</v>
      </c>
      <c r="N102" s="15" t="n">
        <v>0.27143759</v>
      </c>
      <c r="O102" s="15" t="n">
        <v>0.27035184</v>
      </c>
      <c r="P102" s="15" t="n">
        <v>0.26927043</v>
      </c>
      <c r="Q102" s="15" t="n">
        <v>0.26819335</v>
      </c>
      <c r="R102" s="15" t="n">
        <v>0.26712057</v>
      </c>
      <c r="S102" s="15" t="n">
        <v>0.26605209</v>
      </c>
      <c r="T102" s="15" t="n">
        <v>0.26498788</v>
      </c>
      <c r="U102" s="15" t="n">
        <v>0.26392793</v>
      </c>
      <c r="V102" s="15" t="n">
        <v>0.26287222</v>
      </c>
      <c r="W102" s="15" t="n">
        <v>0.26182073</v>
      </c>
      <c r="X102" s="15" t="n">
        <v>0.26077345</v>
      </c>
      <c r="Y102" s="15" t="n">
        <v>0.25973035</v>
      </c>
      <c r="Z102" s="15" t="n">
        <v>0.25869143</v>
      </c>
      <c r="AA102" s="15" t="n">
        <v>0.25765667</v>
      </c>
      <c r="AB102" s="15" t="n">
        <v>0.25662604</v>
      </c>
      <c r="AC102" s="15" t="n">
        <v>0.25559954</v>
      </c>
      <c r="AD102" s="15" t="n">
        <v>0.25457714</v>
      </c>
      <c r="AE102" s="15" t="n">
        <v>0.25355883</v>
      </c>
      <c r="AF102" s="15" t="n">
        <v>0.25254459</v>
      </c>
      <c r="AG102" s="15" t="n">
        <v>0.25153441</v>
      </c>
      <c r="AH102" s="15" t="n">
        <v>0.25052828</v>
      </c>
      <c r="AI102" s="15" t="n">
        <v>0.24952616</v>
      </c>
      <c r="AJ102" s="15" t="n">
        <v>0.24852806</v>
      </c>
      <c r="AK102" s="15" t="n">
        <v>0.24753395</v>
      </c>
      <c r="AL102" s="15" t="n">
        <v>0.24654381</v>
      </c>
      <c r="AM102" s="15" t="n">
        <v>0.24555764</v>
      </c>
      <c r="AN102" s="15" t="n">
        <v>0.24457541</v>
      </c>
      <c r="AO102" s="15" t="n">
        <v>0.2435971</v>
      </c>
      <c r="AP102" s="15" t="n">
        <v>0.24262272</v>
      </c>
      <c r="AQ102" s="15" t="n">
        <v>0.24165222</v>
      </c>
      <c r="AR102" s="15" t="n">
        <v>0.24068562</v>
      </c>
      <c r="AS102" s="15" t="n">
        <v>0.23972287</v>
      </c>
      <c r="AT102" s="15" t="n">
        <v>0.23876398</v>
      </c>
      <c r="AU102" s="15" t="n">
        <v>0.23780893</v>
      </c>
      <c r="AV102" s="15" t="n">
        <v>0.23685769</v>
      </c>
      <c r="AW102" s="15" t="n">
        <v>0.23591026</v>
      </c>
      <c r="AX102" s="15" t="n">
        <v>0.23496662</v>
      </c>
      <c r="AY102" s="15" t="n">
        <v>0.23402675</v>
      </c>
      <c r="AZ102" s="15" t="n">
        <v>0.23309065</v>
      </c>
      <c r="BA102" s="15" t="n">
        <v>0.23215828</v>
      </c>
      <c r="BB102" s="15" t="n">
        <v>0.23122965</v>
      </c>
      <c r="BC102" s="15" t="n">
        <v>0.23030473</v>
      </c>
      <c r="BD102" s="15" t="n">
        <v>0.22938351</v>
      </c>
      <c r="BE102" s="15" t="n">
        <v>0.22846598</v>
      </c>
      <c r="BF102" s="15" t="n">
        <v>0.22755211</v>
      </c>
      <c r="BG102" s="15" t="n">
        <v>0.22664191</v>
      </c>
      <c r="BH102" s="15" t="n">
        <v>0.22573534</v>
      </c>
      <c r="BI102" s="15" t="n">
        <v>0.2248324</v>
      </c>
      <c r="BJ102" s="15" t="n">
        <v>0.22393307</v>
      </c>
      <c r="BK102" s="15" t="n">
        <v>0.22303733</v>
      </c>
      <c r="BL102" s="15" t="n">
        <v>0.22214519</v>
      </c>
      <c r="BM102" s="15" t="n">
        <v>0.2212566</v>
      </c>
      <c r="BN102" s="15" t="n">
        <v>0.22037158</v>
      </c>
      <c r="BO102" s="15" t="n">
        <v>0.21949009</v>
      </c>
      <c r="BP102" s="15" t="n">
        <v>0.21861213</v>
      </c>
      <c r="BQ102" s="15" t="n">
        <v>0.21773768</v>
      </c>
      <c r="BR102" s="15" t="n">
        <v>0.21686673</v>
      </c>
      <c r="BS102" s="15" t="n">
        <v>0.21599927</v>
      </c>
      <c r="BT102" s="15" t="n">
        <v>0.21513527</v>
      </c>
      <c r="BU102" s="15" t="n">
        <v>0.21427473</v>
      </c>
      <c r="BV102" s="15" t="n">
        <v>0.21341763</v>
      </c>
      <c r="BW102" s="15" t="n">
        <v>0.21256396</v>
      </c>
      <c r="BX102" s="15" t="n">
        <v>0.2117137</v>
      </c>
    </row>
    <row r="103">
      <c r="A103" t="n">
        <v>100</v>
      </c>
      <c r="B103" s="15" t="n">
        <v>0.30906158</v>
      </c>
      <c r="C103" s="15" t="n">
        <v>0.30806362</v>
      </c>
      <c r="D103" s="15" t="n">
        <v>0.30706334</v>
      </c>
      <c r="E103" s="15" t="n">
        <v>0.30606108</v>
      </c>
      <c r="F103" s="15" t="n">
        <v>0.3050572</v>
      </c>
      <c r="G103" s="15" t="n">
        <v>0.30405204</v>
      </c>
      <c r="H103" s="15" t="n">
        <v>0.30304623</v>
      </c>
      <c r="I103" s="15" t="n">
        <v>0.30204073</v>
      </c>
      <c r="J103" s="15" t="n">
        <v>0.30103614</v>
      </c>
      <c r="K103" s="15" t="n">
        <v>0.30003309</v>
      </c>
      <c r="L103" s="15" t="n">
        <v>0.29903308</v>
      </c>
      <c r="M103" s="15" t="n">
        <v>0.2980364</v>
      </c>
      <c r="N103" s="15" t="n">
        <v>0.29704304</v>
      </c>
      <c r="O103" s="15" t="n">
        <v>0.296053</v>
      </c>
      <c r="P103" s="15" t="n">
        <v>0.29506625</v>
      </c>
      <c r="Q103" s="15" t="n">
        <v>0.2940828</v>
      </c>
      <c r="R103" s="15" t="n">
        <v>0.29310262</v>
      </c>
      <c r="S103" s="15" t="n">
        <v>0.29212571</v>
      </c>
      <c r="T103" s="15" t="n">
        <v>0.29115205</v>
      </c>
      <c r="U103" s="15" t="n">
        <v>0.29018164</v>
      </c>
      <c r="V103" s="15" t="n">
        <v>0.28921447</v>
      </c>
      <c r="W103" s="15" t="n">
        <v>0.28825052</v>
      </c>
      <c r="X103" s="15" t="n">
        <v>0.28728978</v>
      </c>
      <c r="Y103" s="15" t="n">
        <v>0.28633224</v>
      </c>
      <c r="Z103" s="15" t="n">
        <v>0.2853779</v>
      </c>
      <c r="AA103" s="15" t="n">
        <v>0.28442673</v>
      </c>
      <c r="AB103" s="15" t="n">
        <v>0.28347874</v>
      </c>
      <c r="AC103" s="15" t="n">
        <v>0.2825339</v>
      </c>
      <c r="AD103" s="15" t="n">
        <v>0.28159222</v>
      </c>
      <c r="AE103" s="15" t="n">
        <v>0.28065367</v>
      </c>
      <c r="AF103" s="15" t="n">
        <v>0.27971825</v>
      </c>
      <c r="AG103" s="15" t="n">
        <v>0.27878595</v>
      </c>
      <c r="AH103" s="15" t="n">
        <v>0.27785676</v>
      </c>
      <c r="AI103" s="15" t="n">
        <v>0.27693066</v>
      </c>
      <c r="AJ103" s="15" t="n">
        <v>0.27600765</v>
      </c>
      <c r="AK103" s="15" t="n">
        <v>0.27508772</v>
      </c>
      <c r="AL103" s="15" t="n">
        <v>0.27417085</v>
      </c>
      <c r="AM103" s="15" t="n">
        <v>0.27325704</v>
      </c>
      <c r="AN103" s="15" t="n">
        <v>0.27234627</v>
      </c>
      <c r="AO103" s="15" t="n">
        <v>0.27143854</v>
      </c>
      <c r="AP103" s="15" t="n">
        <v>0.27053384</v>
      </c>
      <c r="AQ103" s="15" t="n">
        <v>0.26963215</v>
      </c>
      <c r="AR103" s="15" t="n">
        <v>0.26873346</v>
      </c>
      <c r="AS103" s="15" t="n">
        <v>0.26783778</v>
      </c>
      <c r="AT103" s="15" t="n">
        <v>0.26694507</v>
      </c>
      <c r="AU103" s="15" t="n">
        <v>0.26605534</v>
      </c>
      <c r="AV103" s="15" t="n">
        <v>0.26516858</v>
      </c>
      <c r="AW103" s="15" t="n">
        <v>0.26428478</v>
      </c>
      <c r="AX103" s="15" t="n">
        <v>0.26340391</v>
      </c>
      <c r="AY103" s="15" t="n">
        <v>0.26252599</v>
      </c>
      <c r="AZ103" s="15" t="n">
        <v>0.26165099</v>
      </c>
      <c r="BA103" s="15" t="n">
        <v>0.26077891</v>
      </c>
      <c r="BB103" s="15" t="n">
        <v>0.25990973</v>
      </c>
      <c r="BC103" s="15" t="n">
        <v>0.25904345</v>
      </c>
      <c r="BD103" s="15" t="n">
        <v>0.25818006</v>
      </c>
      <c r="BE103" s="15" t="n">
        <v>0.25731955</v>
      </c>
      <c r="BF103" s="15" t="n">
        <v>0.2564619</v>
      </c>
      <c r="BG103" s="15" t="n">
        <v>0.25560711</v>
      </c>
      <c r="BH103" s="15" t="n">
        <v>0.25475517</v>
      </c>
      <c r="BI103" s="15" t="n">
        <v>0.25390607</v>
      </c>
      <c r="BJ103" s="15" t="n">
        <v>0.25305981</v>
      </c>
      <c r="BK103" s="15" t="n">
        <v>0.25221636</v>
      </c>
      <c r="BL103" s="15" t="n">
        <v>0.25137572</v>
      </c>
      <c r="BM103" s="15" t="n">
        <v>0.25053789</v>
      </c>
      <c r="BN103" s="15" t="n">
        <v>0.24970284</v>
      </c>
      <c r="BO103" s="15" t="n">
        <v>0.24887058</v>
      </c>
      <c r="BP103" s="15" t="n">
        <v>0.2480411</v>
      </c>
      <c r="BQ103" s="15" t="n">
        <v>0.24721438</v>
      </c>
      <c r="BR103" s="15" t="n">
        <v>0.24639041</v>
      </c>
      <c r="BS103" s="15" t="n">
        <v>0.24556919</v>
      </c>
      <c r="BT103" s="15" t="n">
        <v>0.24475071</v>
      </c>
      <c r="BU103" s="15" t="n">
        <v>0.24393496</v>
      </c>
      <c r="BV103" s="15" t="n">
        <v>0.24312192</v>
      </c>
      <c r="BW103" s="15" t="n">
        <v>0.24231159</v>
      </c>
      <c r="BX103" s="15" t="n">
        <v>0.24150397</v>
      </c>
    </row>
    <row r="104">
      <c r="A104" t="n">
        <v>101</v>
      </c>
      <c r="B104" s="15" t="n">
        <v>0.33495969</v>
      </c>
      <c r="C104" s="15" t="n">
        <v>0.33409448</v>
      </c>
      <c r="D104" s="15" t="n">
        <v>0.33322651</v>
      </c>
      <c r="E104" s="15" t="n">
        <v>0.33235645</v>
      </c>
      <c r="F104" s="15" t="n">
        <v>0.33148435</v>
      </c>
      <c r="G104" s="15" t="n">
        <v>0.33061056</v>
      </c>
      <c r="H104" s="15" t="n">
        <v>0.32973576</v>
      </c>
      <c r="I104" s="15" t="n">
        <v>0.32886031</v>
      </c>
      <c r="J104" s="15" t="n">
        <v>0.32798522</v>
      </c>
      <c r="K104" s="15" t="n">
        <v>0.32711113</v>
      </c>
      <c r="L104" s="15" t="n">
        <v>0.32623873</v>
      </c>
      <c r="M104" s="15" t="n">
        <v>0.32536865</v>
      </c>
      <c r="N104" s="15" t="n">
        <v>0.32450089</v>
      </c>
      <c r="O104" s="15" t="n">
        <v>0.32363545</v>
      </c>
      <c r="P104" s="15" t="n">
        <v>0.32277231</v>
      </c>
      <c r="Q104" s="15" t="n">
        <v>0.32191148</v>
      </c>
      <c r="R104" s="15" t="n">
        <v>0.32105294</v>
      </c>
      <c r="S104" s="15" t="n">
        <v>0.32019669</v>
      </c>
      <c r="T104" s="15" t="n">
        <v>0.31934273</v>
      </c>
      <c r="U104" s="15" t="n">
        <v>0.31849104</v>
      </c>
      <c r="V104" s="15" t="n">
        <v>0.31764163</v>
      </c>
      <c r="W104" s="15" t="n">
        <v>0.31679448</v>
      </c>
      <c r="X104" s="15" t="n">
        <v>0.31594958</v>
      </c>
      <c r="Y104" s="15" t="n">
        <v>0.31510695</v>
      </c>
      <c r="Z104" s="15" t="n">
        <v>0.31426656</v>
      </c>
      <c r="AA104" s="15" t="n">
        <v>0.31342841</v>
      </c>
      <c r="AB104" s="15" t="n">
        <v>0.31259249</v>
      </c>
      <c r="AC104" s="15" t="n">
        <v>0.31175881</v>
      </c>
      <c r="AD104" s="15" t="n">
        <v>0.31092735</v>
      </c>
      <c r="AE104" s="15" t="n">
        <v>0.31009811</v>
      </c>
      <c r="AF104" s="15" t="n">
        <v>0.30927107</v>
      </c>
      <c r="AG104" s="15" t="n">
        <v>0.30844625</v>
      </c>
      <c r="AH104" s="15" t="n">
        <v>0.30762362</v>
      </c>
      <c r="AI104" s="15" t="n">
        <v>0.30680319</v>
      </c>
      <c r="AJ104" s="15" t="n">
        <v>0.30598495</v>
      </c>
      <c r="AK104" s="15" t="n">
        <v>0.30516888</v>
      </c>
      <c r="AL104" s="15" t="n">
        <v>0.304355</v>
      </c>
      <c r="AM104" s="15" t="n">
        <v>0.30354328</v>
      </c>
      <c r="AN104" s="15" t="n">
        <v>0.30273373</v>
      </c>
      <c r="AO104" s="15" t="n">
        <v>0.30192634</v>
      </c>
      <c r="AP104" s="15" t="n">
        <v>0.30112111</v>
      </c>
      <c r="AQ104" s="15" t="n">
        <v>0.30031802</v>
      </c>
      <c r="AR104" s="15" t="n">
        <v>0.29951707</v>
      </c>
      <c r="AS104" s="15" t="n">
        <v>0.29871826</v>
      </c>
      <c r="AT104" s="15" t="n">
        <v>0.29792157</v>
      </c>
      <c r="AU104" s="15" t="n">
        <v>0.29712702</v>
      </c>
      <c r="AV104" s="15" t="n">
        <v>0.29633458</v>
      </c>
      <c r="AW104" s="15" t="n">
        <v>0.29554425</v>
      </c>
      <c r="AX104" s="15" t="n">
        <v>0.29475604</v>
      </c>
      <c r="AY104" s="15" t="n">
        <v>0.29396992</v>
      </c>
      <c r="AZ104" s="15" t="n">
        <v>0.29318591</v>
      </c>
      <c r="BA104" s="15" t="n">
        <v>0.29240398</v>
      </c>
      <c r="BB104" s="15" t="n">
        <v>0.29162414</v>
      </c>
      <c r="BC104" s="15" t="n">
        <v>0.29084638</v>
      </c>
      <c r="BD104" s="15" t="n">
        <v>0.29007069</v>
      </c>
      <c r="BE104" s="15" t="n">
        <v>0.28929707</v>
      </c>
      <c r="BF104" s="15" t="n">
        <v>0.28852552</v>
      </c>
      <c r="BG104" s="15" t="n">
        <v>0.28775602</v>
      </c>
      <c r="BH104" s="15" t="n">
        <v>0.28698857</v>
      </c>
      <c r="BI104" s="15" t="n">
        <v>0.28622317</v>
      </c>
      <c r="BJ104" s="15" t="n">
        <v>0.28545982</v>
      </c>
      <c r="BK104" s="15" t="n">
        <v>0.2846985</v>
      </c>
      <c r="BL104" s="15" t="n">
        <v>0.2839392</v>
      </c>
      <c r="BM104" s="15" t="n">
        <v>0.28318194</v>
      </c>
      <c r="BN104" s="15" t="n">
        <v>0.28242669</v>
      </c>
      <c r="BO104" s="15" t="n">
        <v>0.28167346</v>
      </c>
      <c r="BP104" s="15" t="n">
        <v>0.28092224</v>
      </c>
      <c r="BQ104" s="15" t="n">
        <v>0.28017302</v>
      </c>
      <c r="BR104" s="15" t="n">
        <v>0.2794258</v>
      </c>
      <c r="BS104" s="15" t="n">
        <v>0.27868057</v>
      </c>
      <c r="BT104" s="15" t="n">
        <v>0.27793733</v>
      </c>
      <c r="BU104" s="15" t="n">
        <v>0.27719607</v>
      </c>
      <c r="BV104" s="15" t="n">
        <v>0.27645679</v>
      </c>
      <c r="BW104" s="15" t="n">
        <v>0.27571948</v>
      </c>
      <c r="BX104" s="15" t="n">
        <v>0.27498413</v>
      </c>
    </row>
    <row r="105">
      <c r="A105" t="n">
        <v>102</v>
      </c>
      <c r="B105" s="15" t="n">
        <v>0.36237625</v>
      </c>
      <c r="C105" s="15" t="n">
        <v>0.36167432</v>
      </c>
      <c r="D105" s="15" t="n">
        <v>0.36096978</v>
      </c>
      <c r="E105" s="15" t="n">
        <v>0.360263</v>
      </c>
      <c r="F105" s="15" t="n">
        <v>0.359554</v>
      </c>
      <c r="G105" s="15" t="n">
        <v>0.35884317</v>
      </c>
      <c r="H105" s="15" t="n">
        <v>0.35813086</v>
      </c>
      <c r="I105" s="15" t="n">
        <v>0.35741782</v>
      </c>
      <c r="J105" s="15" t="n">
        <v>0.35670442</v>
      </c>
      <c r="K105" s="15" t="n">
        <v>0.35599137</v>
      </c>
      <c r="L105" s="15" t="n">
        <v>0.35527938</v>
      </c>
      <c r="M105" s="15" t="n">
        <v>0.35456882</v>
      </c>
      <c r="N105" s="15" t="n">
        <v>0.35385969</v>
      </c>
      <c r="O105" s="15" t="n">
        <v>0.35315197</v>
      </c>
      <c r="P105" s="15" t="n">
        <v>0.35244566</v>
      </c>
      <c r="Q105" s="15" t="n">
        <v>0.35174077</v>
      </c>
      <c r="R105" s="15" t="n">
        <v>0.35103729</v>
      </c>
      <c r="S105" s="15" t="n">
        <v>0.35033522</v>
      </c>
      <c r="T105" s="15" t="n">
        <v>0.34963455</v>
      </c>
      <c r="U105" s="15" t="n">
        <v>0.34893528</v>
      </c>
      <c r="V105" s="15" t="n">
        <v>0.34823741</v>
      </c>
      <c r="W105" s="15" t="n">
        <v>0.34754093</v>
      </c>
      <c r="X105" s="15" t="n">
        <v>0.34684585</v>
      </c>
      <c r="Y105" s="15" t="n">
        <v>0.34615216</v>
      </c>
      <c r="Z105" s="15" t="n">
        <v>0.34545985</v>
      </c>
      <c r="AA105" s="15" t="n">
        <v>0.34476893</v>
      </c>
      <c r="AB105" s="15" t="n">
        <v>0.3440794</v>
      </c>
      <c r="AC105" s="15" t="n">
        <v>0.34339124</v>
      </c>
      <c r="AD105" s="15" t="n">
        <v>0.34270445</v>
      </c>
      <c r="AE105" s="15" t="n">
        <v>0.34201905</v>
      </c>
      <c r="AF105" s="15" t="n">
        <v>0.34133501</v>
      </c>
      <c r="AG105" s="15" t="n">
        <v>0.34065234</v>
      </c>
      <c r="AH105" s="15" t="n">
        <v>0.33997103</v>
      </c>
      <c r="AI105" s="15" t="n">
        <v>0.33929109</v>
      </c>
      <c r="AJ105" s="15" t="n">
        <v>0.33861251</v>
      </c>
      <c r="AK105" s="15" t="n">
        <v>0.33793528</v>
      </c>
      <c r="AL105" s="15" t="n">
        <v>0.33725941</v>
      </c>
      <c r="AM105" s="15" t="n">
        <v>0.33658489</v>
      </c>
      <c r="AN105" s="15" t="n">
        <v>0.33591172</v>
      </c>
      <c r="AO105" s="15" t="n">
        <v>0.3352399</v>
      </c>
      <c r="AP105" s="15" t="n">
        <v>0.33456942</v>
      </c>
      <c r="AQ105" s="15" t="n">
        <v>0.33390028</v>
      </c>
      <c r="AR105" s="15" t="n">
        <v>0.33323248</v>
      </c>
      <c r="AS105" s="15" t="n">
        <v>0.33256602</v>
      </c>
      <c r="AT105" s="15" t="n">
        <v>0.33190088</v>
      </c>
      <c r="AU105" s="15" t="n">
        <v>0.33123708</v>
      </c>
      <c r="AV105" s="15" t="n">
        <v>0.33057461</v>
      </c>
      <c r="AW105" s="15" t="n">
        <v>0.32991346</v>
      </c>
      <c r="AX105" s="15" t="n">
        <v>0.32925363</v>
      </c>
      <c r="AY105" s="15" t="n">
        <v>0.32859513</v>
      </c>
      <c r="AZ105" s="15" t="n">
        <v>0.32793794</v>
      </c>
      <c r="BA105" s="15" t="n">
        <v>0.32728206</v>
      </c>
      <c r="BB105" s="15" t="n">
        <v>0.3266275</v>
      </c>
      <c r="BC105" s="15" t="n">
        <v>0.32597424</v>
      </c>
      <c r="BD105" s="15" t="n">
        <v>0.32532229</v>
      </c>
      <c r="BE105" s="15" t="n">
        <v>0.32467165</v>
      </c>
      <c r="BF105" s="15" t="n">
        <v>0.3240223</v>
      </c>
      <c r="BG105" s="15" t="n">
        <v>0.32337426</v>
      </c>
      <c r="BH105" s="15" t="n">
        <v>0.32272751</v>
      </c>
      <c r="BI105" s="15" t="n">
        <v>0.32208206</v>
      </c>
      <c r="BJ105" s="15" t="n">
        <v>0.32143789</v>
      </c>
      <c r="BK105" s="15" t="n">
        <v>0.32079502</v>
      </c>
      <c r="BL105" s="15" t="n">
        <v>0.32015343</v>
      </c>
      <c r="BM105" s="15" t="n">
        <v>0.31951312</v>
      </c>
      <c r="BN105" s="15" t="n">
        <v>0.31887409</v>
      </c>
      <c r="BO105" s="15" t="n">
        <v>0.31823634</v>
      </c>
      <c r="BP105" s="15" t="n">
        <v>0.31759987</v>
      </c>
      <c r="BQ105" s="15" t="n">
        <v>0.31696467</v>
      </c>
      <c r="BR105" s="15" t="n">
        <v>0.31633074</v>
      </c>
      <c r="BS105" s="15" t="n">
        <v>0.31569808</v>
      </c>
      <c r="BT105" s="15" t="n">
        <v>0.31506669</v>
      </c>
      <c r="BU105" s="15" t="n">
        <v>0.31443655</v>
      </c>
      <c r="BV105" s="15" t="n">
        <v>0.31380768</v>
      </c>
      <c r="BW105" s="15" t="n">
        <v>0.31318006</v>
      </c>
      <c r="BX105" s="15" t="n">
        <v>0.3125537</v>
      </c>
    </row>
    <row r="106">
      <c r="A106" t="n">
        <v>103</v>
      </c>
      <c r="B106" s="15" t="n">
        <v>0.39130551</v>
      </c>
      <c r="C106" s="15" t="n">
        <v>0.39079994</v>
      </c>
      <c r="D106" s="15" t="n">
        <v>0.39029229</v>
      </c>
      <c r="E106" s="15" t="n">
        <v>0.38978257</v>
      </c>
      <c r="F106" s="15" t="n">
        <v>0.38927118</v>
      </c>
      <c r="G106" s="15" t="n">
        <v>0.38875812</v>
      </c>
      <c r="H106" s="15" t="n">
        <v>0.38824379</v>
      </c>
      <c r="I106" s="15" t="n">
        <v>0.38772859</v>
      </c>
      <c r="J106" s="15" t="n">
        <v>0.38721252</v>
      </c>
      <c r="K106" s="15" t="n">
        <v>0.38669637</v>
      </c>
      <c r="L106" s="15" t="n">
        <v>0.3861809</v>
      </c>
      <c r="M106" s="15" t="n">
        <v>0.38566612</v>
      </c>
      <c r="N106" s="15" t="n">
        <v>0.38515203</v>
      </c>
      <c r="O106" s="15" t="n">
        <v>0.38463862</v>
      </c>
      <c r="P106" s="15" t="n">
        <v>0.3841259</v>
      </c>
      <c r="Q106" s="15" t="n">
        <v>0.38361386</v>
      </c>
      <c r="R106" s="15" t="n">
        <v>0.3831025</v>
      </c>
      <c r="S106" s="15" t="n">
        <v>0.38259183</v>
      </c>
      <c r="T106" s="15" t="n">
        <v>0.38208183</v>
      </c>
      <c r="U106" s="15" t="n">
        <v>0.38157252</v>
      </c>
      <c r="V106" s="15" t="n">
        <v>0.38106388</v>
      </c>
      <c r="W106" s="15" t="n">
        <v>0.38055592</v>
      </c>
      <c r="X106" s="15" t="n">
        <v>0.38004864</v>
      </c>
      <c r="Y106" s="15" t="n">
        <v>0.37954204</v>
      </c>
      <c r="Z106" s="15" t="n">
        <v>0.37903611</v>
      </c>
      <c r="AA106" s="15" t="n">
        <v>0.37853085</v>
      </c>
      <c r="AB106" s="15" t="n">
        <v>0.37802627</v>
      </c>
      <c r="AC106" s="15" t="n">
        <v>0.37752236</v>
      </c>
      <c r="AD106" s="15" t="n">
        <v>0.37701913</v>
      </c>
      <c r="AE106" s="15" t="n">
        <v>0.37651656</v>
      </c>
      <c r="AF106" s="15" t="n">
        <v>0.37601466</v>
      </c>
      <c r="AG106" s="15" t="n">
        <v>0.37551343</v>
      </c>
      <c r="AH106" s="15" t="n">
        <v>0.37501288</v>
      </c>
      <c r="AI106" s="15" t="n">
        <v>0.37451298</v>
      </c>
      <c r="AJ106" s="15" t="n">
        <v>0.37401376</v>
      </c>
      <c r="AK106" s="15" t="n">
        <v>0.3735152</v>
      </c>
      <c r="AL106" s="15" t="n">
        <v>0.3730173</v>
      </c>
      <c r="AM106" s="15" t="n">
        <v>0.37252007</v>
      </c>
      <c r="AN106" s="15" t="n">
        <v>0.3720235</v>
      </c>
      <c r="AO106" s="15" t="n">
        <v>0.37152759</v>
      </c>
      <c r="AP106" s="15" t="n">
        <v>0.37103235</v>
      </c>
      <c r="AQ106" s="15" t="n">
        <v>0.37053776</v>
      </c>
      <c r="AR106" s="15" t="n">
        <v>0.37004383</v>
      </c>
      <c r="AS106" s="15" t="n">
        <v>0.36955056</v>
      </c>
      <c r="AT106" s="15" t="n">
        <v>0.36905795</v>
      </c>
      <c r="AU106" s="15" t="n">
        <v>0.368566</v>
      </c>
      <c r="AV106" s="15" t="n">
        <v>0.3680747</v>
      </c>
      <c r="AW106" s="15" t="n">
        <v>0.36758406</v>
      </c>
      <c r="AX106" s="15" t="n">
        <v>0.36709407</v>
      </c>
      <c r="AY106" s="15" t="n">
        <v>0.36660473</v>
      </c>
      <c r="AZ106" s="15" t="n">
        <v>0.36611605</v>
      </c>
      <c r="BA106" s="15" t="n">
        <v>0.36562801</v>
      </c>
      <c r="BB106" s="15" t="n">
        <v>0.36514063</v>
      </c>
      <c r="BC106" s="15" t="n">
        <v>0.3646539</v>
      </c>
      <c r="BD106" s="15" t="n">
        <v>0.36416782</v>
      </c>
      <c r="BE106" s="15" t="n">
        <v>0.36368238</v>
      </c>
      <c r="BF106" s="15" t="n">
        <v>0.36319759</v>
      </c>
      <c r="BG106" s="15" t="n">
        <v>0.36271345</v>
      </c>
      <c r="BH106" s="15" t="n">
        <v>0.36222995</v>
      </c>
      <c r="BI106" s="15" t="n">
        <v>0.3617471</v>
      </c>
      <c r="BJ106" s="15" t="n">
        <v>0.36126489</v>
      </c>
      <c r="BK106" s="15" t="n">
        <v>0.36078333</v>
      </c>
      <c r="BL106" s="15" t="n">
        <v>0.3603024</v>
      </c>
      <c r="BM106" s="15" t="n">
        <v>0.35982212</v>
      </c>
      <c r="BN106" s="15" t="n">
        <v>0.35934248</v>
      </c>
      <c r="BO106" s="15" t="n">
        <v>0.35886347</v>
      </c>
      <c r="BP106" s="15" t="n">
        <v>0.35838511</v>
      </c>
      <c r="BQ106" s="15" t="n">
        <v>0.35790738</v>
      </c>
      <c r="BR106" s="15" t="n">
        <v>0.35743029</v>
      </c>
      <c r="BS106" s="15" t="n">
        <v>0.35695383</v>
      </c>
      <c r="BT106" s="15" t="n">
        <v>0.35647801</v>
      </c>
      <c r="BU106" s="15" t="n">
        <v>0.35600283</v>
      </c>
      <c r="BV106" s="15" t="n">
        <v>0.35552828</v>
      </c>
      <c r="BW106" s="15" t="n">
        <v>0.35505436</v>
      </c>
      <c r="BX106" s="15" t="n">
        <v>0.35458107</v>
      </c>
    </row>
    <row r="107">
      <c r="A107" t="n">
        <v>104</v>
      </c>
      <c r="B107" s="15" t="n">
        <v>0.42171899</v>
      </c>
      <c r="C107" s="15" t="n">
        <v>0.42144656</v>
      </c>
      <c r="D107" s="15" t="n">
        <v>0.42117304</v>
      </c>
      <c r="E107" s="15" t="n">
        <v>0.42089801</v>
      </c>
      <c r="F107" s="15" t="n">
        <v>0.4206219</v>
      </c>
      <c r="G107" s="15" t="n">
        <v>0.42034471</v>
      </c>
      <c r="H107" s="15" t="n">
        <v>0.42006645</v>
      </c>
      <c r="I107" s="15" t="n">
        <v>0.41978752</v>
      </c>
      <c r="J107" s="15" t="n">
        <v>0.41950836</v>
      </c>
      <c r="K107" s="15" t="n">
        <v>0.41922897</v>
      </c>
      <c r="L107" s="15" t="n">
        <v>0.41894935</v>
      </c>
      <c r="M107" s="15" t="n">
        <v>0.41866991</v>
      </c>
      <c r="N107" s="15" t="n">
        <v>0.41839065</v>
      </c>
      <c r="O107" s="15" t="n">
        <v>0.41811159</v>
      </c>
      <c r="P107" s="15" t="n">
        <v>0.41783271</v>
      </c>
      <c r="Q107" s="15" t="n">
        <v>0.41755401</v>
      </c>
      <c r="R107" s="15" t="n">
        <v>0.4172755</v>
      </c>
      <c r="S107" s="15" t="n">
        <v>0.41699718</v>
      </c>
      <c r="T107" s="15" t="n">
        <v>0.41671904</v>
      </c>
      <c r="U107" s="15" t="n">
        <v>0.41644109</v>
      </c>
      <c r="V107" s="15" t="n">
        <v>0.41616333</v>
      </c>
      <c r="W107" s="15" t="n">
        <v>0.41588574</v>
      </c>
      <c r="X107" s="15" t="n">
        <v>0.41560835</v>
      </c>
      <c r="Y107" s="15" t="n">
        <v>0.41533114</v>
      </c>
      <c r="Z107" s="15" t="n">
        <v>0.41505411</v>
      </c>
      <c r="AA107" s="15" t="n">
        <v>0.41477727</v>
      </c>
      <c r="AB107" s="15" t="n">
        <v>0.41450061</v>
      </c>
      <c r="AC107" s="15" t="n">
        <v>0.41422414</v>
      </c>
      <c r="AD107" s="15" t="n">
        <v>0.41394786</v>
      </c>
      <c r="AE107" s="15" t="n">
        <v>0.41367175</v>
      </c>
      <c r="AF107" s="15" t="n">
        <v>0.41339583</v>
      </c>
      <c r="AG107" s="15" t="n">
        <v>0.4131201</v>
      </c>
      <c r="AH107" s="15" t="n">
        <v>0.41284455</v>
      </c>
      <c r="AI107" s="15" t="n">
        <v>0.41256918</v>
      </c>
      <c r="AJ107" s="15" t="n">
        <v>0.412294</v>
      </c>
      <c r="AK107" s="15" t="n">
        <v>0.412019</v>
      </c>
      <c r="AL107" s="15" t="n">
        <v>0.41174418</v>
      </c>
      <c r="AM107" s="15" t="n">
        <v>0.41146955</v>
      </c>
      <c r="AN107" s="15" t="n">
        <v>0.4111951</v>
      </c>
      <c r="AO107" s="15" t="n">
        <v>0.41092083</v>
      </c>
      <c r="AP107" s="15" t="n">
        <v>0.41064674</v>
      </c>
      <c r="AQ107" s="15" t="n">
        <v>0.41037284</v>
      </c>
      <c r="AR107" s="15" t="n">
        <v>0.41009912</v>
      </c>
      <c r="AS107" s="15" t="n">
        <v>0.40982559</v>
      </c>
      <c r="AT107" s="15" t="n">
        <v>0.40955223</v>
      </c>
      <c r="AU107" s="15" t="n">
        <v>0.40927906</v>
      </c>
      <c r="AV107" s="15" t="n">
        <v>0.40900607</v>
      </c>
      <c r="AW107" s="15" t="n">
        <v>0.40873327</v>
      </c>
      <c r="AX107" s="15" t="n">
        <v>0.40846064</v>
      </c>
      <c r="AY107" s="15" t="n">
        <v>0.4081882</v>
      </c>
      <c r="AZ107" s="15" t="n">
        <v>0.40791594</v>
      </c>
      <c r="BA107" s="15" t="n">
        <v>0.40764386</v>
      </c>
      <c r="BB107" s="15" t="n">
        <v>0.40737196</v>
      </c>
      <c r="BC107" s="15" t="n">
        <v>0.40710024</v>
      </c>
      <c r="BD107" s="15" t="n">
        <v>0.40682871</v>
      </c>
      <c r="BE107" s="15" t="n">
        <v>0.40655735</v>
      </c>
      <c r="BF107" s="15" t="n">
        <v>0.40628618</v>
      </c>
      <c r="BG107" s="15" t="n">
        <v>0.40601518</v>
      </c>
      <c r="BH107" s="15" t="n">
        <v>0.40574437</v>
      </c>
      <c r="BI107" s="15" t="n">
        <v>0.40547374</v>
      </c>
      <c r="BJ107" s="15" t="n">
        <v>0.40520329</v>
      </c>
      <c r="BK107" s="15" t="n">
        <v>0.40493302</v>
      </c>
      <c r="BL107" s="15" t="n">
        <v>0.40466293</v>
      </c>
      <c r="BM107" s="15" t="n">
        <v>0.40439302</v>
      </c>
      <c r="BN107" s="15" t="n">
        <v>0.40412329</v>
      </c>
      <c r="BO107" s="15" t="n">
        <v>0.40385374</v>
      </c>
      <c r="BP107" s="15" t="n">
        <v>0.40358437</v>
      </c>
      <c r="BQ107" s="15" t="n">
        <v>0.40331518</v>
      </c>
      <c r="BR107" s="15" t="n">
        <v>0.40304617</v>
      </c>
      <c r="BS107" s="15" t="n">
        <v>0.40277733</v>
      </c>
      <c r="BT107" s="15" t="n">
        <v>0.40250868</v>
      </c>
      <c r="BU107" s="15" t="n">
        <v>0.40224021</v>
      </c>
      <c r="BV107" s="15" t="n">
        <v>0.40197191</v>
      </c>
      <c r="BW107" s="15" t="n">
        <v>0.4017038</v>
      </c>
      <c r="BX107" s="15" t="n">
        <v>0.40143586</v>
      </c>
    </row>
    <row r="108">
      <c r="A108" t="n">
        <v>105</v>
      </c>
      <c r="B108" s="15" t="n">
        <v>0.4535698</v>
      </c>
      <c r="C108" s="15" t="n">
        <v>0.4535698</v>
      </c>
      <c r="D108" s="15" t="n">
        <v>0.4535698</v>
      </c>
      <c r="E108" s="15" t="n">
        <v>0.4535698</v>
      </c>
      <c r="F108" s="15" t="n">
        <v>0.4535698</v>
      </c>
      <c r="G108" s="15" t="n">
        <v>0.4535698</v>
      </c>
      <c r="H108" s="15" t="n">
        <v>0.4535698</v>
      </c>
      <c r="I108" s="15" t="n">
        <v>0.4535698</v>
      </c>
      <c r="J108" s="15" t="n">
        <v>0.4535698</v>
      </c>
      <c r="K108" s="15" t="n">
        <v>0.4535698</v>
      </c>
      <c r="L108" s="15" t="n">
        <v>0.4535698</v>
      </c>
      <c r="M108" s="15" t="n">
        <v>0.4535698</v>
      </c>
      <c r="N108" s="15" t="n">
        <v>0.4535698</v>
      </c>
      <c r="O108" s="15" t="n">
        <v>0.4535698</v>
      </c>
      <c r="P108" s="15" t="n">
        <v>0.4535698</v>
      </c>
      <c r="Q108" s="15" t="n">
        <v>0.4535698</v>
      </c>
      <c r="R108" s="15" t="n">
        <v>0.4535698</v>
      </c>
      <c r="S108" s="15" t="n">
        <v>0.4535698</v>
      </c>
      <c r="T108" s="15" t="n">
        <v>0.4535698</v>
      </c>
      <c r="U108" s="15" t="n">
        <v>0.4535698</v>
      </c>
      <c r="V108" s="15" t="n">
        <v>0.4535698</v>
      </c>
      <c r="W108" s="15" t="n">
        <v>0.4535698</v>
      </c>
      <c r="X108" s="15" t="n">
        <v>0.4535698</v>
      </c>
      <c r="Y108" s="15" t="n">
        <v>0.4535698</v>
      </c>
      <c r="Z108" s="15" t="n">
        <v>0.4535698</v>
      </c>
      <c r="AA108" s="15" t="n">
        <v>0.4535698</v>
      </c>
      <c r="AB108" s="15" t="n">
        <v>0.4535698</v>
      </c>
      <c r="AC108" s="15" t="n">
        <v>0.4535698</v>
      </c>
      <c r="AD108" s="15" t="n">
        <v>0.4535698</v>
      </c>
      <c r="AE108" s="15" t="n">
        <v>0.4535698</v>
      </c>
      <c r="AF108" s="15" t="n">
        <v>0.4535698</v>
      </c>
      <c r="AG108" s="15" t="n">
        <v>0.4535698</v>
      </c>
      <c r="AH108" s="15" t="n">
        <v>0.4535698</v>
      </c>
      <c r="AI108" s="15" t="n">
        <v>0.4535698</v>
      </c>
      <c r="AJ108" s="15" t="n">
        <v>0.4535698</v>
      </c>
      <c r="AK108" s="15" t="n">
        <v>0.4535698</v>
      </c>
      <c r="AL108" s="15" t="n">
        <v>0.4535698</v>
      </c>
      <c r="AM108" s="15" t="n">
        <v>0.4535698</v>
      </c>
      <c r="AN108" s="15" t="n">
        <v>0.4535698</v>
      </c>
      <c r="AO108" s="15" t="n">
        <v>0.4535698</v>
      </c>
      <c r="AP108" s="15" t="n">
        <v>0.4535698</v>
      </c>
      <c r="AQ108" s="15" t="n">
        <v>0.4535698</v>
      </c>
      <c r="AR108" s="15" t="n">
        <v>0.4535698</v>
      </c>
      <c r="AS108" s="15" t="n">
        <v>0.4535698</v>
      </c>
      <c r="AT108" s="15" t="n">
        <v>0.4535698</v>
      </c>
      <c r="AU108" s="15" t="n">
        <v>0.4535698</v>
      </c>
      <c r="AV108" s="15" t="n">
        <v>0.4535698</v>
      </c>
      <c r="AW108" s="15" t="n">
        <v>0.4535698</v>
      </c>
      <c r="AX108" s="15" t="n">
        <v>0.4535698</v>
      </c>
      <c r="AY108" s="15" t="n">
        <v>0.4535698</v>
      </c>
      <c r="AZ108" s="15" t="n">
        <v>0.4535698</v>
      </c>
      <c r="BA108" s="15" t="n">
        <v>0.4535698</v>
      </c>
      <c r="BB108" s="15" t="n">
        <v>0.4535698</v>
      </c>
      <c r="BC108" s="15" t="n">
        <v>0.4535698</v>
      </c>
      <c r="BD108" s="15" t="n">
        <v>0.4535698</v>
      </c>
      <c r="BE108" s="15" t="n">
        <v>0.4535698</v>
      </c>
      <c r="BF108" s="15" t="n">
        <v>0.4535698</v>
      </c>
      <c r="BG108" s="15" t="n">
        <v>0.4535698</v>
      </c>
      <c r="BH108" s="15" t="n">
        <v>0.4535698</v>
      </c>
      <c r="BI108" s="15" t="n">
        <v>0.4535698</v>
      </c>
      <c r="BJ108" s="15" t="n">
        <v>0.4535698</v>
      </c>
      <c r="BK108" s="15" t="n">
        <v>0.4535698</v>
      </c>
      <c r="BL108" s="15" t="n">
        <v>0.4535698</v>
      </c>
      <c r="BM108" s="15" t="n">
        <v>0.4535698</v>
      </c>
      <c r="BN108" s="15" t="n">
        <v>0.4535698</v>
      </c>
      <c r="BO108" s="15" t="n">
        <v>0.4535698</v>
      </c>
      <c r="BP108" s="15" t="n">
        <v>0.4535698</v>
      </c>
      <c r="BQ108" s="15" t="n">
        <v>0.4535698</v>
      </c>
      <c r="BR108" s="15" t="n">
        <v>0.4535698</v>
      </c>
      <c r="BS108" s="15" t="n">
        <v>0.4535698</v>
      </c>
      <c r="BT108" s="15" t="n">
        <v>0.4535698</v>
      </c>
      <c r="BU108" s="15" t="n">
        <v>0.4535698</v>
      </c>
      <c r="BV108" s="15" t="n">
        <v>0.4535698</v>
      </c>
      <c r="BW108" s="15" t="n">
        <v>0.4535698</v>
      </c>
      <c r="BX108" s="15" t="n">
        <v>0.4535698</v>
      </c>
    </row>
    <row r="109">
      <c r="A109" t="n">
        <v>106</v>
      </c>
      <c r="B109" s="15" t="n">
        <v>0.48373394</v>
      </c>
      <c r="C109" s="15" t="n">
        <v>0.48373394</v>
      </c>
      <c r="D109" s="15" t="n">
        <v>0.48373394</v>
      </c>
      <c r="E109" s="15" t="n">
        <v>0.48373394</v>
      </c>
      <c r="F109" s="15" t="n">
        <v>0.48373394</v>
      </c>
      <c r="G109" s="15" t="n">
        <v>0.48373394</v>
      </c>
      <c r="H109" s="15" t="n">
        <v>0.48373394</v>
      </c>
      <c r="I109" s="15" t="n">
        <v>0.48373394</v>
      </c>
      <c r="J109" s="15" t="n">
        <v>0.48373394</v>
      </c>
      <c r="K109" s="15" t="n">
        <v>0.48373394</v>
      </c>
      <c r="L109" s="15" t="n">
        <v>0.48373394</v>
      </c>
      <c r="M109" s="15" t="n">
        <v>0.48373394</v>
      </c>
      <c r="N109" s="15" t="n">
        <v>0.48373394</v>
      </c>
      <c r="O109" s="15" t="n">
        <v>0.48373394</v>
      </c>
      <c r="P109" s="15" t="n">
        <v>0.48373394</v>
      </c>
      <c r="Q109" s="15" t="n">
        <v>0.48373394</v>
      </c>
      <c r="R109" s="15" t="n">
        <v>0.48373394</v>
      </c>
      <c r="S109" s="15" t="n">
        <v>0.48373394</v>
      </c>
      <c r="T109" s="15" t="n">
        <v>0.48373394</v>
      </c>
      <c r="U109" s="15" t="n">
        <v>0.48373394</v>
      </c>
      <c r="V109" s="15" t="n">
        <v>0.48373394</v>
      </c>
      <c r="W109" s="15" t="n">
        <v>0.48373394</v>
      </c>
      <c r="X109" s="15" t="n">
        <v>0.48373394</v>
      </c>
      <c r="Y109" s="15" t="n">
        <v>0.48373394</v>
      </c>
      <c r="Z109" s="15" t="n">
        <v>0.48373394</v>
      </c>
      <c r="AA109" s="15" t="n">
        <v>0.48373394</v>
      </c>
      <c r="AB109" s="15" t="n">
        <v>0.48373394</v>
      </c>
      <c r="AC109" s="15" t="n">
        <v>0.48373394</v>
      </c>
      <c r="AD109" s="15" t="n">
        <v>0.48373394</v>
      </c>
      <c r="AE109" s="15" t="n">
        <v>0.48373394</v>
      </c>
      <c r="AF109" s="15" t="n">
        <v>0.48373394</v>
      </c>
      <c r="AG109" s="15" t="n">
        <v>0.48373394</v>
      </c>
      <c r="AH109" s="15" t="n">
        <v>0.48373394</v>
      </c>
      <c r="AI109" s="15" t="n">
        <v>0.48373394</v>
      </c>
      <c r="AJ109" s="15" t="n">
        <v>0.48373394</v>
      </c>
      <c r="AK109" s="15" t="n">
        <v>0.48373394</v>
      </c>
      <c r="AL109" s="15" t="n">
        <v>0.48373394</v>
      </c>
      <c r="AM109" s="15" t="n">
        <v>0.48373394</v>
      </c>
      <c r="AN109" s="15" t="n">
        <v>0.48373394</v>
      </c>
      <c r="AO109" s="15" t="n">
        <v>0.48373394</v>
      </c>
      <c r="AP109" s="15" t="n">
        <v>0.48373394</v>
      </c>
      <c r="AQ109" s="15" t="n">
        <v>0.48373394</v>
      </c>
      <c r="AR109" s="15" t="n">
        <v>0.48373394</v>
      </c>
      <c r="AS109" s="15" t="n">
        <v>0.48373394</v>
      </c>
      <c r="AT109" s="15" t="n">
        <v>0.48373394</v>
      </c>
      <c r="AU109" s="15" t="n">
        <v>0.48373394</v>
      </c>
      <c r="AV109" s="15" t="n">
        <v>0.48373394</v>
      </c>
      <c r="AW109" s="15" t="n">
        <v>0.48373394</v>
      </c>
      <c r="AX109" s="15" t="n">
        <v>0.48373394</v>
      </c>
      <c r="AY109" s="15" t="n">
        <v>0.48373394</v>
      </c>
      <c r="AZ109" s="15" t="n">
        <v>0.48373394</v>
      </c>
      <c r="BA109" s="15" t="n">
        <v>0.48373394</v>
      </c>
      <c r="BB109" s="15" t="n">
        <v>0.48373394</v>
      </c>
      <c r="BC109" s="15" t="n">
        <v>0.48373394</v>
      </c>
      <c r="BD109" s="15" t="n">
        <v>0.48373394</v>
      </c>
      <c r="BE109" s="15" t="n">
        <v>0.48373394</v>
      </c>
      <c r="BF109" s="15" t="n">
        <v>0.48373394</v>
      </c>
      <c r="BG109" s="15" t="n">
        <v>0.48373394</v>
      </c>
      <c r="BH109" s="15" t="n">
        <v>0.48373394</v>
      </c>
      <c r="BI109" s="15" t="n">
        <v>0.48373394</v>
      </c>
      <c r="BJ109" s="15" t="n">
        <v>0.48373394</v>
      </c>
      <c r="BK109" s="15" t="n">
        <v>0.48373394</v>
      </c>
      <c r="BL109" s="15" t="n">
        <v>0.48373394</v>
      </c>
      <c r="BM109" s="15" t="n">
        <v>0.48373394</v>
      </c>
      <c r="BN109" s="15" t="n">
        <v>0.48373394</v>
      </c>
      <c r="BO109" s="15" t="n">
        <v>0.48373394</v>
      </c>
      <c r="BP109" s="15" t="n">
        <v>0.48373394</v>
      </c>
      <c r="BQ109" s="15" t="n">
        <v>0.48373394</v>
      </c>
      <c r="BR109" s="15" t="n">
        <v>0.48373394</v>
      </c>
      <c r="BS109" s="15" t="n">
        <v>0.48373394</v>
      </c>
      <c r="BT109" s="15" t="n">
        <v>0.48373394</v>
      </c>
      <c r="BU109" s="15" t="n">
        <v>0.48373394</v>
      </c>
      <c r="BV109" s="15" t="n">
        <v>0.48373394</v>
      </c>
      <c r="BW109" s="15" t="n">
        <v>0.48373394</v>
      </c>
      <c r="BX109" s="15" t="n">
        <v>0.48373394</v>
      </c>
    </row>
    <row r="110">
      <c r="A110" t="n">
        <v>107</v>
      </c>
      <c r="B110" s="15" t="n">
        <v>0.5147499800000001</v>
      </c>
      <c r="C110" s="15" t="n">
        <v>0.5147499800000001</v>
      </c>
      <c r="D110" s="15" t="n">
        <v>0.5147499800000001</v>
      </c>
      <c r="E110" s="15" t="n">
        <v>0.5147499800000001</v>
      </c>
      <c r="F110" s="15" t="n">
        <v>0.5147499800000001</v>
      </c>
      <c r="G110" s="15" t="n">
        <v>0.5147499800000001</v>
      </c>
      <c r="H110" s="15" t="n">
        <v>0.5147499800000001</v>
      </c>
      <c r="I110" s="15" t="n">
        <v>0.5147499800000001</v>
      </c>
      <c r="J110" s="15" t="n">
        <v>0.5147499800000001</v>
      </c>
      <c r="K110" s="15" t="n">
        <v>0.5147499800000001</v>
      </c>
      <c r="L110" s="15" t="n">
        <v>0.5147499800000001</v>
      </c>
      <c r="M110" s="15" t="n">
        <v>0.5147499800000001</v>
      </c>
      <c r="N110" s="15" t="n">
        <v>0.5147499800000001</v>
      </c>
      <c r="O110" s="15" t="n">
        <v>0.5147499800000001</v>
      </c>
      <c r="P110" s="15" t="n">
        <v>0.5147499800000001</v>
      </c>
      <c r="Q110" s="15" t="n">
        <v>0.5147499800000001</v>
      </c>
      <c r="R110" s="15" t="n">
        <v>0.5147499800000001</v>
      </c>
      <c r="S110" s="15" t="n">
        <v>0.5147499800000001</v>
      </c>
      <c r="T110" s="15" t="n">
        <v>0.5147499800000001</v>
      </c>
      <c r="U110" s="15" t="n">
        <v>0.5147499800000001</v>
      </c>
      <c r="V110" s="15" t="n">
        <v>0.5147499800000001</v>
      </c>
      <c r="W110" s="15" t="n">
        <v>0.5147499800000001</v>
      </c>
      <c r="X110" s="15" t="n">
        <v>0.5147499800000001</v>
      </c>
      <c r="Y110" s="15" t="n">
        <v>0.5147499800000001</v>
      </c>
      <c r="Z110" s="15" t="n">
        <v>0.5147499800000001</v>
      </c>
      <c r="AA110" s="15" t="n">
        <v>0.5147499800000001</v>
      </c>
      <c r="AB110" s="15" t="n">
        <v>0.5147499800000001</v>
      </c>
      <c r="AC110" s="15" t="n">
        <v>0.5147499800000001</v>
      </c>
      <c r="AD110" s="15" t="n">
        <v>0.5147499800000001</v>
      </c>
      <c r="AE110" s="15" t="n">
        <v>0.5147499800000001</v>
      </c>
      <c r="AF110" s="15" t="n">
        <v>0.5147499800000001</v>
      </c>
      <c r="AG110" s="15" t="n">
        <v>0.5147499800000001</v>
      </c>
      <c r="AH110" s="15" t="n">
        <v>0.5147499800000001</v>
      </c>
      <c r="AI110" s="15" t="n">
        <v>0.5147499800000001</v>
      </c>
      <c r="AJ110" s="15" t="n">
        <v>0.5147499800000001</v>
      </c>
      <c r="AK110" s="15" t="n">
        <v>0.5147499800000001</v>
      </c>
      <c r="AL110" s="15" t="n">
        <v>0.5147499800000001</v>
      </c>
      <c r="AM110" s="15" t="n">
        <v>0.5147499800000001</v>
      </c>
      <c r="AN110" s="15" t="n">
        <v>0.5147499800000001</v>
      </c>
      <c r="AO110" s="15" t="n">
        <v>0.5147499800000001</v>
      </c>
      <c r="AP110" s="15" t="n">
        <v>0.5147499800000001</v>
      </c>
      <c r="AQ110" s="15" t="n">
        <v>0.5147499800000001</v>
      </c>
      <c r="AR110" s="15" t="n">
        <v>0.5147499800000001</v>
      </c>
      <c r="AS110" s="15" t="n">
        <v>0.5147499800000001</v>
      </c>
      <c r="AT110" s="15" t="n">
        <v>0.5147499800000001</v>
      </c>
      <c r="AU110" s="15" t="n">
        <v>0.5147499800000001</v>
      </c>
      <c r="AV110" s="15" t="n">
        <v>0.5147499800000001</v>
      </c>
      <c r="AW110" s="15" t="n">
        <v>0.5147499800000001</v>
      </c>
      <c r="AX110" s="15" t="n">
        <v>0.5147499800000001</v>
      </c>
      <c r="AY110" s="15" t="n">
        <v>0.5147499800000001</v>
      </c>
      <c r="AZ110" s="15" t="n">
        <v>0.5147499800000001</v>
      </c>
      <c r="BA110" s="15" t="n">
        <v>0.5147499800000001</v>
      </c>
      <c r="BB110" s="15" t="n">
        <v>0.5147499800000001</v>
      </c>
      <c r="BC110" s="15" t="n">
        <v>0.5147499800000001</v>
      </c>
      <c r="BD110" s="15" t="n">
        <v>0.5147499800000001</v>
      </c>
      <c r="BE110" s="15" t="n">
        <v>0.5147499800000001</v>
      </c>
      <c r="BF110" s="15" t="n">
        <v>0.5147499800000001</v>
      </c>
      <c r="BG110" s="15" t="n">
        <v>0.5147499800000001</v>
      </c>
      <c r="BH110" s="15" t="n">
        <v>0.5147499800000001</v>
      </c>
      <c r="BI110" s="15" t="n">
        <v>0.5147499800000001</v>
      </c>
      <c r="BJ110" s="15" t="n">
        <v>0.5147499800000001</v>
      </c>
      <c r="BK110" s="15" t="n">
        <v>0.5147499800000001</v>
      </c>
      <c r="BL110" s="15" t="n">
        <v>0.5147499800000001</v>
      </c>
      <c r="BM110" s="15" t="n">
        <v>0.5147499800000001</v>
      </c>
      <c r="BN110" s="15" t="n">
        <v>0.5147499800000001</v>
      </c>
      <c r="BO110" s="15" t="n">
        <v>0.5147499800000001</v>
      </c>
      <c r="BP110" s="15" t="n">
        <v>0.5147499800000001</v>
      </c>
      <c r="BQ110" s="15" t="n">
        <v>0.5147499800000001</v>
      </c>
      <c r="BR110" s="15" t="n">
        <v>0.5147499800000001</v>
      </c>
      <c r="BS110" s="15" t="n">
        <v>0.5147499800000001</v>
      </c>
      <c r="BT110" s="15" t="n">
        <v>0.5147499800000001</v>
      </c>
      <c r="BU110" s="15" t="n">
        <v>0.5147499800000001</v>
      </c>
      <c r="BV110" s="15" t="n">
        <v>0.5147499800000001</v>
      </c>
      <c r="BW110" s="15" t="n">
        <v>0.5147499800000001</v>
      </c>
      <c r="BX110" s="15" t="n">
        <v>0.5147499800000001</v>
      </c>
    </row>
    <row r="111">
      <c r="A111" t="n">
        <v>108</v>
      </c>
      <c r="B111" s="15" t="n">
        <v>0.54647008</v>
      </c>
      <c r="C111" s="15" t="n">
        <v>0.54647008</v>
      </c>
      <c r="D111" s="15" t="n">
        <v>0.54647008</v>
      </c>
      <c r="E111" s="15" t="n">
        <v>0.54647008</v>
      </c>
      <c r="F111" s="15" t="n">
        <v>0.54647008</v>
      </c>
      <c r="G111" s="15" t="n">
        <v>0.54647008</v>
      </c>
      <c r="H111" s="15" t="n">
        <v>0.54647008</v>
      </c>
      <c r="I111" s="15" t="n">
        <v>0.54647008</v>
      </c>
      <c r="J111" s="15" t="n">
        <v>0.54647008</v>
      </c>
      <c r="K111" s="15" t="n">
        <v>0.54647008</v>
      </c>
      <c r="L111" s="15" t="n">
        <v>0.54647008</v>
      </c>
      <c r="M111" s="15" t="n">
        <v>0.54647008</v>
      </c>
      <c r="N111" s="15" t="n">
        <v>0.54647008</v>
      </c>
      <c r="O111" s="15" t="n">
        <v>0.54647008</v>
      </c>
      <c r="P111" s="15" t="n">
        <v>0.54647008</v>
      </c>
      <c r="Q111" s="15" t="n">
        <v>0.54647008</v>
      </c>
      <c r="R111" s="15" t="n">
        <v>0.54647008</v>
      </c>
      <c r="S111" s="15" t="n">
        <v>0.54647008</v>
      </c>
      <c r="T111" s="15" t="n">
        <v>0.54647008</v>
      </c>
      <c r="U111" s="15" t="n">
        <v>0.54647008</v>
      </c>
      <c r="V111" s="15" t="n">
        <v>0.54647008</v>
      </c>
      <c r="W111" s="15" t="n">
        <v>0.54647008</v>
      </c>
      <c r="X111" s="15" t="n">
        <v>0.54647008</v>
      </c>
      <c r="Y111" s="15" t="n">
        <v>0.54647008</v>
      </c>
      <c r="Z111" s="15" t="n">
        <v>0.54647008</v>
      </c>
      <c r="AA111" s="15" t="n">
        <v>0.54647008</v>
      </c>
      <c r="AB111" s="15" t="n">
        <v>0.54647008</v>
      </c>
      <c r="AC111" s="15" t="n">
        <v>0.54647008</v>
      </c>
      <c r="AD111" s="15" t="n">
        <v>0.54647008</v>
      </c>
      <c r="AE111" s="15" t="n">
        <v>0.54647008</v>
      </c>
      <c r="AF111" s="15" t="n">
        <v>0.54647008</v>
      </c>
      <c r="AG111" s="15" t="n">
        <v>0.54647008</v>
      </c>
      <c r="AH111" s="15" t="n">
        <v>0.54647008</v>
      </c>
      <c r="AI111" s="15" t="n">
        <v>0.54647008</v>
      </c>
      <c r="AJ111" s="15" t="n">
        <v>0.54647008</v>
      </c>
      <c r="AK111" s="15" t="n">
        <v>0.54647008</v>
      </c>
      <c r="AL111" s="15" t="n">
        <v>0.54647008</v>
      </c>
      <c r="AM111" s="15" t="n">
        <v>0.54647008</v>
      </c>
      <c r="AN111" s="15" t="n">
        <v>0.54647008</v>
      </c>
      <c r="AO111" s="15" t="n">
        <v>0.54647008</v>
      </c>
      <c r="AP111" s="15" t="n">
        <v>0.54647008</v>
      </c>
      <c r="AQ111" s="15" t="n">
        <v>0.54647008</v>
      </c>
      <c r="AR111" s="15" t="n">
        <v>0.54647008</v>
      </c>
      <c r="AS111" s="15" t="n">
        <v>0.54647008</v>
      </c>
      <c r="AT111" s="15" t="n">
        <v>0.54647008</v>
      </c>
      <c r="AU111" s="15" t="n">
        <v>0.54647008</v>
      </c>
      <c r="AV111" s="15" t="n">
        <v>0.54647008</v>
      </c>
      <c r="AW111" s="15" t="n">
        <v>0.54647008</v>
      </c>
      <c r="AX111" s="15" t="n">
        <v>0.54647008</v>
      </c>
      <c r="AY111" s="15" t="n">
        <v>0.54647008</v>
      </c>
      <c r="AZ111" s="15" t="n">
        <v>0.54647008</v>
      </c>
      <c r="BA111" s="15" t="n">
        <v>0.54647008</v>
      </c>
      <c r="BB111" s="15" t="n">
        <v>0.54647008</v>
      </c>
      <c r="BC111" s="15" t="n">
        <v>0.54647008</v>
      </c>
      <c r="BD111" s="15" t="n">
        <v>0.54647008</v>
      </c>
      <c r="BE111" s="15" t="n">
        <v>0.54647008</v>
      </c>
      <c r="BF111" s="15" t="n">
        <v>0.54647008</v>
      </c>
      <c r="BG111" s="15" t="n">
        <v>0.54647008</v>
      </c>
      <c r="BH111" s="15" t="n">
        <v>0.54647008</v>
      </c>
      <c r="BI111" s="15" t="n">
        <v>0.54647008</v>
      </c>
      <c r="BJ111" s="15" t="n">
        <v>0.54647008</v>
      </c>
      <c r="BK111" s="15" t="n">
        <v>0.54647008</v>
      </c>
      <c r="BL111" s="15" t="n">
        <v>0.54647008</v>
      </c>
      <c r="BM111" s="15" t="n">
        <v>0.54647008</v>
      </c>
      <c r="BN111" s="15" t="n">
        <v>0.54647008</v>
      </c>
      <c r="BO111" s="15" t="n">
        <v>0.54647008</v>
      </c>
      <c r="BP111" s="15" t="n">
        <v>0.54647008</v>
      </c>
      <c r="BQ111" s="15" t="n">
        <v>0.54647008</v>
      </c>
      <c r="BR111" s="15" t="n">
        <v>0.54647008</v>
      </c>
      <c r="BS111" s="15" t="n">
        <v>0.54647008</v>
      </c>
      <c r="BT111" s="15" t="n">
        <v>0.54647008</v>
      </c>
      <c r="BU111" s="15" t="n">
        <v>0.54647008</v>
      </c>
      <c r="BV111" s="15" t="n">
        <v>0.54647008</v>
      </c>
      <c r="BW111" s="15" t="n">
        <v>0.54647008</v>
      </c>
      <c r="BX111" s="15" t="n">
        <v>0.54647008</v>
      </c>
    </row>
    <row r="112">
      <c r="A112" t="n">
        <v>109</v>
      </c>
      <c r="B112" s="15" t="n">
        <v>0.57871949</v>
      </c>
      <c r="C112" s="15" t="n">
        <v>0.57871949</v>
      </c>
      <c r="D112" s="15" t="n">
        <v>0.57871949</v>
      </c>
      <c r="E112" s="15" t="n">
        <v>0.57871949</v>
      </c>
      <c r="F112" s="15" t="n">
        <v>0.57871949</v>
      </c>
      <c r="G112" s="15" t="n">
        <v>0.57871949</v>
      </c>
      <c r="H112" s="15" t="n">
        <v>0.57871949</v>
      </c>
      <c r="I112" s="15" t="n">
        <v>0.57871949</v>
      </c>
      <c r="J112" s="15" t="n">
        <v>0.57871949</v>
      </c>
      <c r="K112" s="15" t="n">
        <v>0.57871949</v>
      </c>
      <c r="L112" s="15" t="n">
        <v>0.57871949</v>
      </c>
      <c r="M112" s="15" t="n">
        <v>0.57871949</v>
      </c>
      <c r="N112" s="15" t="n">
        <v>0.57871949</v>
      </c>
      <c r="O112" s="15" t="n">
        <v>0.57871949</v>
      </c>
      <c r="P112" s="15" t="n">
        <v>0.57871949</v>
      </c>
      <c r="Q112" s="15" t="n">
        <v>0.57871949</v>
      </c>
      <c r="R112" s="15" t="n">
        <v>0.57871949</v>
      </c>
      <c r="S112" s="15" t="n">
        <v>0.57871949</v>
      </c>
      <c r="T112" s="15" t="n">
        <v>0.57871949</v>
      </c>
      <c r="U112" s="15" t="n">
        <v>0.57871949</v>
      </c>
      <c r="V112" s="15" t="n">
        <v>0.57871949</v>
      </c>
      <c r="W112" s="15" t="n">
        <v>0.57871949</v>
      </c>
      <c r="X112" s="15" t="n">
        <v>0.57871949</v>
      </c>
      <c r="Y112" s="15" t="n">
        <v>0.57871949</v>
      </c>
      <c r="Z112" s="15" t="n">
        <v>0.57871949</v>
      </c>
      <c r="AA112" s="15" t="n">
        <v>0.57871949</v>
      </c>
      <c r="AB112" s="15" t="n">
        <v>0.57871949</v>
      </c>
      <c r="AC112" s="15" t="n">
        <v>0.57871949</v>
      </c>
      <c r="AD112" s="15" t="n">
        <v>0.57871949</v>
      </c>
      <c r="AE112" s="15" t="n">
        <v>0.57871949</v>
      </c>
      <c r="AF112" s="15" t="n">
        <v>0.57871949</v>
      </c>
      <c r="AG112" s="15" t="n">
        <v>0.57871949</v>
      </c>
      <c r="AH112" s="15" t="n">
        <v>0.57871949</v>
      </c>
      <c r="AI112" s="15" t="n">
        <v>0.57871949</v>
      </c>
      <c r="AJ112" s="15" t="n">
        <v>0.57871949</v>
      </c>
      <c r="AK112" s="15" t="n">
        <v>0.57871949</v>
      </c>
      <c r="AL112" s="15" t="n">
        <v>0.57871949</v>
      </c>
      <c r="AM112" s="15" t="n">
        <v>0.57871949</v>
      </c>
      <c r="AN112" s="15" t="n">
        <v>0.57871949</v>
      </c>
      <c r="AO112" s="15" t="n">
        <v>0.57871949</v>
      </c>
      <c r="AP112" s="15" t="n">
        <v>0.57871949</v>
      </c>
      <c r="AQ112" s="15" t="n">
        <v>0.57871949</v>
      </c>
      <c r="AR112" s="15" t="n">
        <v>0.57871949</v>
      </c>
      <c r="AS112" s="15" t="n">
        <v>0.57871949</v>
      </c>
      <c r="AT112" s="15" t="n">
        <v>0.57871949</v>
      </c>
      <c r="AU112" s="15" t="n">
        <v>0.57871949</v>
      </c>
      <c r="AV112" s="15" t="n">
        <v>0.57871949</v>
      </c>
      <c r="AW112" s="15" t="n">
        <v>0.57871949</v>
      </c>
      <c r="AX112" s="15" t="n">
        <v>0.57871949</v>
      </c>
      <c r="AY112" s="15" t="n">
        <v>0.57871949</v>
      </c>
      <c r="AZ112" s="15" t="n">
        <v>0.57871949</v>
      </c>
      <c r="BA112" s="15" t="n">
        <v>0.57871949</v>
      </c>
      <c r="BB112" s="15" t="n">
        <v>0.57871949</v>
      </c>
      <c r="BC112" s="15" t="n">
        <v>0.57871949</v>
      </c>
      <c r="BD112" s="15" t="n">
        <v>0.57871949</v>
      </c>
      <c r="BE112" s="15" t="n">
        <v>0.57871949</v>
      </c>
      <c r="BF112" s="15" t="n">
        <v>0.57871949</v>
      </c>
      <c r="BG112" s="15" t="n">
        <v>0.57871949</v>
      </c>
      <c r="BH112" s="15" t="n">
        <v>0.57871949</v>
      </c>
      <c r="BI112" s="15" t="n">
        <v>0.57871949</v>
      </c>
      <c r="BJ112" s="15" t="n">
        <v>0.57871949</v>
      </c>
      <c r="BK112" s="15" t="n">
        <v>0.57871949</v>
      </c>
      <c r="BL112" s="15" t="n">
        <v>0.57871949</v>
      </c>
      <c r="BM112" s="15" t="n">
        <v>0.57871949</v>
      </c>
      <c r="BN112" s="15" t="n">
        <v>0.57871949</v>
      </c>
      <c r="BO112" s="15" t="n">
        <v>0.57871949</v>
      </c>
      <c r="BP112" s="15" t="n">
        <v>0.57871949</v>
      </c>
      <c r="BQ112" s="15" t="n">
        <v>0.57871949</v>
      </c>
      <c r="BR112" s="15" t="n">
        <v>0.57871949</v>
      </c>
      <c r="BS112" s="15" t="n">
        <v>0.57871949</v>
      </c>
      <c r="BT112" s="15" t="n">
        <v>0.57871949</v>
      </c>
      <c r="BU112" s="15" t="n">
        <v>0.57871949</v>
      </c>
      <c r="BV112" s="15" t="n">
        <v>0.57871949</v>
      </c>
      <c r="BW112" s="15" t="n">
        <v>0.57871949</v>
      </c>
      <c r="BX112" s="15" t="n">
        <v>0.57871949</v>
      </c>
    </row>
    <row r="113">
      <c r="A113" t="n">
        <v>110</v>
      </c>
      <c r="B113" s="15" t="n">
        <v>1</v>
      </c>
      <c r="C113" s="15" t="n">
        <v>1</v>
      </c>
      <c r="D113" s="15" t="n">
        <v>1</v>
      </c>
      <c r="E113" s="15" t="n">
        <v>1</v>
      </c>
      <c r="F113" s="15" t="n">
        <v>1</v>
      </c>
      <c r="G113" s="15" t="n">
        <v>1</v>
      </c>
      <c r="H113" s="15" t="n">
        <v>1</v>
      </c>
      <c r="I113" s="15" t="n">
        <v>1</v>
      </c>
      <c r="J113" s="15" t="n">
        <v>1</v>
      </c>
      <c r="K113" s="15" t="n">
        <v>1</v>
      </c>
      <c r="L113" s="15" t="n">
        <v>1</v>
      </c>
      <c r="M113" s="15" t="n">
        <v>1</v>
      </c>
      <c r="N113" s="15" t="n">
        <v>1</v>
      </c>
      <c r="O113" s="15" t="n">
        <v>1</v>
      </c>
      <c r="P113" s="15" t="n">
        <v>1</v>
      </c>
      <c r="Q113" s="15" t="n">
        <v>1</v>
      </c>
      <c r="R113" s="15" t="n">
        <v>1</v>
      </c>
      <c r="S113" s="15" t="n">
        <v>1</v>
      </c>
      <c r="T113" s="15" t="n">
        <v>1</v>
      </c>
      <c r="U113" s="15" t="n">
        <v>1</v>
      </c>
      <c r="V113" s="15" t="n">
        <v>1</v>
      </c>
      <c r="W113" s="15" t="n">
        <v>1</v>
      </c>
      <c r="X113" s="15" t="n">
        <v>1</v>
      </c>
      <c r="Y113" s="15" t="n">
        <v>1</v>
      </c>
      <c r="Z113" s="15" t="n">
        <v>1</v>
      </c>
      <c r="AA113" s="15" t="n">
        <v>1</v>
      </c>
      <c r="AB113" s="15" t="n">
        <v>1</v>
      </c>
      <c r="AC113" s="15" t="n">
        <v>1</v>
      </c>
      <c r="AD113" s="15" t="n">
        <v>1</v>
      </c>
      <c r="AE113" s="15" t="n">
        <v>1</v>
      </c>
      <c r="AF113" s="15" t="n">
        <v>1</v>
      </c>
      <c r="AG113" s="15" t="n">
        <v>1</v>
      </c>
      <c r="AH113" s="15" t="n">
        <v>1</v>
      </c>
      <c r="AI113" s="15" t="n">
        <v>1</v>
      </c>
      <c r="AJ113" s="15" t="n">
        <v>1</v>
      </c>
      <c r="AK113" s="15" t="n">
        <v>1</v>
      </c>
      <c r="AL113" s="15" t="n">
        <v>1</v>
      </c>
      <c r="AM113" s="15" t="n">
        <v>1</v>
      </c>
      <c r="AN113" s="15" t="n">
        <v>1</v>
      </c>
      <c r="AO113" s="15" t="n">
        <v>1</v>
      </c>
      <c r="AP113" s="15" t="n">
        <v>1</v>
      </c>
      <c r="AQ113" s="15" t="n">
        <v>1</v>
      </c>
      <c r="AR113" s="15" t="n">
        <v>1</v>
      </c>
      <c r="AS113" s="15" t="n">
        <v>1</v>
      </c>
      <c r="AT113" s="15" t="n">
        <v>1</v>
      </c>
      <c r="AU113" s="15" t="n">
        <v>1</v>
      </c>
      <c r="AV113" s="15" t="n">
        <v>1</v>
      </c>
      <c r="AW113" s="15" t="n">
        <v>1</v>
      </c>
      <c r="AX113" s="15" t="n">
        <v>1</v>
      </c>
      <c r="AY113" s="15" t="n">
        <v>1</v>
      </c>
      <c r="AZ113" s="15" t="n">
        <v>1</v>
      </c>
      <c r="BA113" s="15" t="n">
        <v>1</v>
      </c>
      <c r="BB113" s="15" t="n">
        <v>1</v>
      </c>
      <c r="BC113" s="15" t="n">
        <v>1</v>
      </c>
      <c r="BD113" s="15" t="n">
        <v>1</v>
      </c>
      <c r="BE113" s="15" t="n">
        <v>1</v>
      </c>
      <c r="BF113" s="15" t="n">
        <v>1</v>
      </c>
      <c r="BG113" s="15" t="n">
        <v>1</v>
      </c>
      <c r="BH113" s="15" t="n">
        <v>1</v>
      </c>
      <c r="BI113" s="15" t="n">
        <v>1</v>
      </c>
      <c r="BJ113" s="15" t="n">
        <v>1</v>
      </c>
      <c r="BK113" s="15" t="n">
        <v>1</v>
      </c>
      <c r="BL113" s="15" t="n">
        <v>1</v>
      </c>
      <c r="BM113" s="15" t="n">
        <v>1</v>
      </c>
      <c r="BN113" s="15" t="n">
        <v>1</v>
      </c>
      <c r="BO113" s="15" t="n">
        <v>1</v>
      </c>
      <c r="BP113" s="15" t="n">
        <v>1</v>
      </c>
      <c r="BQ113" s="15" t="n">
        <v>1</v>
      </c>
      <c r="BR113" s="15" t="n">
        <v>1</v>
      </c>
      <c r="BS113" s="15" t="n">
        <v>1</v>
      </c>
      <c r="BT113" s="15" t="n">
        <v>1</v>
      </c>
      <c r="BU113" s="15" t="n">
        <v>1</v>
      </c>
      <c r="BV113" s="15" t="n">
        <v>1</v>
      </c>
      <c r="BW113" s="15" t="n">
        <v>1</v>
      </c>
      <c r="BX113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qx proyectado = qx_2020 × Π(1 − AA x,t), tabla RV-M-2020. Filas: edad; columnas: año. Desde 2036 el factor AA se mantiene constante.</t>
        </is>
      </c>
    </row>
    <row r="2">
      <c r="A2" s="11" t="inlineStr">
        <is>
          <t>Edad</t>
        </is>
      </c>
      <c r="B2" s="11" t="n">
        <v>2026</v>
      </c>
      <c r="C2" s="11" t="n">
        <v>2027</v>
      </c>
      <c r="D2" s="11" t="n">
        <v>2028</v>
      </c>
      <c r="E2" s="11" t="n">
        <v>2029</v>
      </c>
      <c r="F2" s="11" t="n">
        <v>2030</v>
      </c>
      <c r="G2" s="11" t="n">
        <v>2031</v>
      </c>
      <c r="H2" s="11" t="n">
        <v>2032</v>
      </c>
      <c r="I2" s="11" t="n">
        <v>2033</v>
      </c>
      <c r="J2" s="11" t="n">
        <v>2034</v>
      </c>
      <c r="K2" s="11" t="n">
        <v>2035</v>
      </c>
      <c r="L2" s="11" t="n">
        <v>2036</v>
      </c>
      <c r="M2" s="11" t="n">
        <v>2037</v>
      </c>
      <c r="N2" s="11" t="n">
        <v>2038</v>
      </c>
      <c r="O2" s="11" t="n">
        <v>2039</v>
      </c>
      <c r="P2" s="11" t="n">
        <v>2040</v>
      </c>
      <c r="Q2" s="11" t="n">
        <v>2041</v>
      </c>
      <c r="R2" s="11" t="n">
        <v>2042</v>
      </c>
      <c r="S2" s="11" t="n">
        <v>2043</v>
      </c>
      <c r="T2" s="11" t="n">
        <v>2044</v>
      </c>
      <c r="U2" s="11" t="n">
        <v>2045</v>
      </c>
      <c r="V2" s="11" t="n">
        <v>2046</v>
      </c>
      <c r="W2" s="11" t="n">
        <v>2047</v>
      </c>
      <c r="X2" s="11" t="n">
        <v>2048</v>
      </c>
      <c r="Y2" s="11" t="n">
        <v>2049</v>
      </c>
      <c r="Z2" s="11" t="n">
        <v>2050</v>
      </c>
      <c r="AA2" s="11" t="n">
        <v>2051</v>
      </c>
      <c r="AB2" s="11" t="n">
        <v>2052</v>
      </c>
      <c r="AC2" s="11" t="n">
        <v>2053</v>
      </c>
      <c r="AD2" s="11" t="n">
        <v>2054</v>
      </c>
      <c r="AE2" s="11" t="n">
        <v>2055</v>
      </c>
      <c r="AF2" s="11" t="n">
        <v>2056</v>
      </c>
      <c r="AG2" s="11" t="n">
        <v>2057</v>
      </c>
      <c r="AH2" s="11" t="n">
        <v>2058</v>
      </c>
      <c r="AI2" s="11" t="n">
        <v>2059</v>
      </c>
      <c r="AJ2" s="11" t="n">
        <v>2060</v>
      </c>
      <c r="AK2" s="11" t="n">
        <v>2061</v>
      </c>
      <c r="AL2" s="11" t="n">
        <v>2062</v>
      </c>
      <c r="AM2" s="11" t="n">
        <v>2063</v>
      </c>
      <c r="AN2" s="11" t="n">
        <v>2064</v>
      </c>
      <c r="AO2" s="11" t="n">
        <v>2065</v>
      </c>
      <c r="AP2" s="11" t="n">
        <v>2066</v>
      </c>
      <c r="AQ2" s="11" t="n">
        <v>2067</v>
      </c>
      <c r="AR2" s="11" t="n">
        <v>2068</v>
      </c>
      <c r="AS2" s="11" t="n">
        <v>2069</v>
      </c>
      <c r="AT2" s="11" t="n">
        <v>2070</v>
      </c>
      <c r="AU2" s="11" t="n">
        <v>2071</v>
      </c>
      <c r="AV2" s="11" t="n">
        <v>2072</v>
      </c>
      <c r="AW2" s="11" t="n">
        <v>2073</v>
      </c>
      <c r="AX2" s="11" t="n">
        <v>2074</v>
      </c>
      <c r="AY2" s="11" t="n">
        <v>2075</v>
      </c>
      <c r="AZ2" s="11" t="n">
        <v>2076</v>
      </c>
      <c r="BA2" s="11" t="n">
        <v>2077</v>
      </c>
      <c r="BB2" s="11" t="n">
        <v>2078</v>
      </c>
      <c r="BC2" s="11" t="n">
        <v>2079</v>
      </c>
      <c r="BD2" s="11" t="n">
        <v>2080</v>
      </c>
      <c r="BE2" s="11" t="n">
        <v>2081</v>
      </c>
      <c r="BF2" s="11" t="n">
        <v>2082</v>
      </c>
      <c r="BG2" s="11" t="n">
        <v>2083</v>
      </c>
      <c r="BH2" s="11" t="n">
        <v>2084</v>
      </c>
      <c r="BI2" s="11" t="n">
        <v>2085</v>
      </c>
      <c r="BJ2" s="11" t="n">
        <v>2086</v>
      </c>
      <c r="BK2" s="11" t="n">
        <v>2087</v>
      </c>
      <c r="BL2" s="11" t="n">
        <v>2088</v>
      </c>
      <c r="BM2" s="11" t="n">
        <v>2089</v>
      </c>
      <c r="BN2" s="11" t="n">
        <v>2090</v>
      </c>
      <c r="BO2" s="11" t="n">
        <v>2091</v>
      </c>
      <c r="BP2" s="11" t="n">
        <v>2092</v>
      </c>
      <c r="BQ2" s="11" t="n">
        <v>2093</v>
      </c>
      <c r="BR2" s="11" t="n">
        <v>2094</v>
      </c>
      <c r="BS2" s="11" t="n">
        <v>2095</v>
      </c>
      <c r="BT2" s="11" t="n">
        <v>2096</v>
      </c>
      <c r="BU2" s="11" t="n">
        <v>2097</v>
      </c>
      <c r="BV2" s="11" t="n">
        <v>2098</v>
      </c>
      <c r="BW2" s="11" t="n">
        <v>2099</v>
      </c>
      <c r="BX2" s="11" t="n">
        <v>2100</v>
      </c>
    </row>
    <row r="3">
      <c r="A3" t="n">
        <v>20</v>
      </c>
      <c r="B3" s="15" t="n">
        <v>0.00028308</v>
      </c>
      <c r="C3" s="15" t="n">
        <v>0.00028036</v>
      </c>
      <c r="D3" s="15" t="n">
        <v>0.00027765</v>
      </c>
      <c r="E3" s="15" t="n">
        <v>0.00027495</v>
      </c>
      <c r="F3" s="15" t="n">
        <v>0.00027226</v>
      </c>
      <c r="G3" s="15" t="n">
        <v>0.00026958</v>
      </c>
      <c r="H3" s="15" t="n">
        <v>0.00026691</v>
      </c>
      <c r="I3" s="15" t="n">
        <v>0.00026425</v>
      </c>
      <c r="J3" s="15" t="n">
        <v>0.00026162</v>
      </c>
      <c r="K3" s="15" t="n">
        <v>0.000259</v>
      </c>
      <c r="L3" s="15" t="n">
        <v>0.00025641</v>
      </c>
      <c r="M3" s="15" t="n">
        <v>0.00025385</v>
      </c>
      <c r="N3" s="15" t="n">
        <v>0.00025131</v>
      </c>
      <c r="O3" s="15" t="n">
        <v>0.0002488</v>
      </c>
      <c r="P3" s="15" t="n">
        <v>0.00024631</v>
      </c>
      <c r="Q3" s="15" t="n">
        <v>0.00024385</v>
      </c>
      <c r="R3" s="15" t="n">
        <v>0.00024141</v>
      </c>
      <c r="S3" s="15" t="n">
        <v>0.00023899</v>
      </c>
      <c r="T3" s="15" t="n">
        <v>0.0002366</v>
      </c>
      <c r="U3" s="15" t="n">
        <v>0.00023424</v>
      </c>
      <c r="V3" s="15" t="n">
        <v>0.0002319</v>
      </c>
      <c r="W3" s="15" t="n">
        <v>0.00022958</v>
      </c>
      <c r="X3" s="15" t="n">
        <v>0.00022728</v>
      </c>
      <c r="Y3" s="15" t="n">
        <v>0.00022501</v>
      </c>
      <c r="Z3" s="15" t="n">
        <v>0.00022276</v>
      </c>
      <c r="AA3" s="15" t="n">
        <v>0.00022053</v>
      </c>
      <c r="AB3" s="15" t="n">
        <v>0.00021833</v>
      </c>
      <c r="AC3" s="15" t="n">
        <v>0.00021614</v>
      </c>
      <c r="AD3" s="15" t="n">
        <v>0.00021398</v>
      </c>
      <c r="AE3" s="15" t="n">
        <v>0.00021184</v>
      </c>
      <c r="AF3" s="15" t="n">
        <v>0.00020972</v>
      </c>
      <c r="AG3" s="15" t="n">
        <v>0.00020763</v>
      </c>
      <c r="AH3" s="15" t="n">
        <v>0.00020555</v>
      </c>
      <c r="AI3" s="15" t="n">
        <v>0.00020349</v>
      </c>
      <c r="AJ3" s="15" t="n">
        <v>0.00020146</v>
      </c>
      <c r="AK3" s="15" t="n">
        <v>0.00019944</v>
      </c>
      <c r="AL3" s="15" t="n">
        <v>0.00019745</v>
      </c>
      <c r="AM3" s="15" t="n">
        <v>0.00019548</v>
      </c>
      <c r="AN3" s="15" t="n">
        <v>0.00019352</v>
      </c>
      <c r="AO3" s="15" t="n">
        <v>0.00019159</v>
      </c>
      <c r="AP3" s="15" t="n">
        <v>0.00018967</v>
      </c>
      <c r="AQ3" s="15" t="n">
        <v>0.00018777</v>
      </c>
      <c r="AR3" s="15" t="n">
        <v>0.0001859</v>
      </c>
      <c r="AS3" s="15" t="n">
        <v>0.00018404</v>
      </c>
      <c r="AT3" s="15" t="n">
        <v>0.0001822</v>
      </c>
      <c r="AU3" s="15" t="n">
        <v>0.00018037</v>
      </c>
      <c r="AV3" s="15" t="n">
        <v>0.00017857</v>
      </c>
      <c r="AW3" s="15" t="n">
        <v>0.00017678</v>
      </c>
      <c r="AX3" s="15" t="n">
        <v>0.00017502</v>
      </c>
      <c r="AY3" s="15" t="n">
        <v>0.00017327</v>
      </c>
      <c r="AZ3" s="15" t="n">
        <v>0.00017153</v>
      </c>
      <c r="BA3" s="15" t="n">
        <v>0.00016982</v>
      </c>
      <c r="BB3" s="15" t="n">
        <v>0.00016812</v>
      </c>
      <c r="BC3" s="15" t="n">
        <v>0.00016644</v>
      </c>
      <c r="BD3" s="15" t="n">
        <v>0.00016477</v>
      </c>
      <c r="BE3" s="15" t="n">
        <v>0.00016313</v>
      </c>
      <c r="BF3" s="15" t="n">
        <v>0.0001615</v>
      </c>
      <c r="BG3" s="15" t="n">
        <v>0.00015988</v>
      </c>
      <c r="BH3" s="15" t="n">
        <v>0.00015828</v>
      </c>
      <c r="BI3" s="15" t="n">
        <v>0.0001567</v>
      </c>
      <c r="BJ3" s="15" t="n">
        <v>0.00015513</v>
      </c>
      <c r="BK3" s="15" t="n">
        <v>0.00015358</v>
      </c>
      <c r="BL3" s="15" t="n">
        <v>0.00015205</v>
      </c>
      <c r="BM3" s="15" t="n">
        <v>0.00015052</v>
      </c>
      <c r="BN3" s="15" t="n">
        <v>0.00014902</v>
      </c>
      <c r="BO3" s="15" t="n">
        <v>0.00014753</v>
      </c>
      <c r="BP3" s="15" t="n">
        <v>0.00014605</v>
      </c>
      <c r="BQ3" s="15" t="n">
        <v>0.00014459</v>
      </c>
      <c r="BR3" s="15" t="n">
        <v>0.00014315</v>
      </c>
      <c r="BS3" s="15" t="n">
        <v>0.00014172</v>
      </c>
      <c r="BT3" s="15" t="n">
        <v>0.0001403</v>
      </c>
      <c r="BU3" s="15" t="n">
        <v>0.0001389</v>
      </c>
      <c r="BV3" s="15" t="n">
        <v>0.00013751</v>
      </c>
      <c r="BW3" s="15" t="n">
        <v>0.00013613</v>
      </c>
      <c r="BX3" s="15" t="n">
        <v>0.00013477</v>
      </c>
    </row>
    <row r="4">
      <c r="A4" t="n">
        <v>21</v>
      </c>
      <c r="B4" s="15" t="n">
        <v>0.00028928</v>
      </c>
      <c r="C4" s="15" t="n">
        <v>0.00028653</v>
      </c>
      <c r="D4" s="15" t="n">
        <v>0.00028379</v>
      </c>
      <c r="E4" s="15" t="n">
        <v>0.00028104</v>
      </c>
      <c r="F4" s="15" t="n">
        <v>0.0002783</v>
      </c>
      <c r="G4" s="15" t="n">
        <v>0.00027557</v>
      </c>
      <c r="H4" s="15" t="n">
        <v>0.00027285</v>
      </c>
      <c r="I4" s="15" t="n">
        <v>0.00027014</v>
      </c>
      <c r="J4" s="15" t="n">
        <v>0.00026745</v>
      </c>
      <c r="K4" s="15" t="n">
        <v>0.00026477</v>
      </c>
      <c r="L4" s="15" t="n">
        <v>0.00026213</v>
      </c>
      <c r="M4" s="15" t="n">
        <v>0.00025951</v>
      </c>
      <c r="N4" s="15" t="n">
        <v>0.00025691</v>
      </c>
      <c r="O4" s="15" t="n">
        <v>0.00025434</v>
      </c>
      <c r="P4" s="15" t="n">
        <v>0.0002518</v>
      </c>
      <c r="Q4" s="15" t="n">
        <v>0.00024928</v>
      </c>
      <c r="R4" s="15" t="n">
        <v>0.00024679</v>
      </c>
      <c r="S4" s="15" t="n">
        <v>0.00024432</v>
      </c>
      <c r="T4" s="15" t="n">
        <v>0.00024188</v>
      </c>
      <c r="U4" s="15" t="n">
        <v>0.00023946</v>
      </c>
      <c r="V4" s="15" t="n">
        <v>0.00023706</v>
      </c>
      <c r="W4" s="15" t="n">
        <v>0.00023469</v>
      </c>
      <c r="X4" s="15" t="n">
        <v>0.00023234</v>
      </c>
      <c r="Y4" s="15" t="n">
        <v>0.00023002</v>
      </c>
      <c r="Z4" s="15" t="n">
        <v>0.00022772</v>
      </c>
      <c r="AA4" s="15" t="n">
        <v>0.00022544</v>
      </c>
      <c r="AB4" s="15" t="n">
        <v>0.00022319</v>
      </c>
      <c r="AC4" s="15" t="n">
        <v>0.00022096</v>
      </c>
      <c r="AD4" s="15" t="n">
        <v>0.00021875</v>
      </c>
      <c r="AE4" s="15" t="n">
        <v>0.00021656</v>
      </c>
      <c r="AF4" s="15" t="n">
        <v>0.0002144</v>
      </c>
      <c r="AG4" s="15" t="n">
        <v>0.00021225</v>
      </c>
      <c r="AH4" s="15" t="n">
        <v>0.00021013</v>
      </c>
      <c r="AI4" s="15" t="n">
        <v>0.00020803</v>
      </c>
      <c r="AJ4" s="15" t="n">
        <v>0.00020595</v>
      </c>
      <c r="AK4" s="15" t="n">
        <v>0.00020389</v>
      </c>
      <c r="AL4" s="15" t="n">
        <v>0.00020185</v>
      </c>
      <c r="AM4" s="15" t="n">
        <v>0.00019983</v>
      </c>
      <c r="AN4" s="15" t="n">
        <v>0.00019783</v>
      </c>
      <c r="AO4" s="15" t="n">
        <v>0.00019585</v>
      </c>
      <c r="AP4" s="15" t="n">
        <v>0.0001939</v>
      </c>
      <c r="AQ4" s="15" t="n">
        <v>0.00019196</v>
      </c>
      <c r="AR4" s="15" t="n">
        <v>0.00019004</v>
      </c>
      <c r="AS4" s="15" t="n">
        <v>0.00018814</v>
      </c>
      <c r="AT4" s="15" t="n">
        <v>0.00018625</v>
      </c>
      <c r="AU4" s="15" t="n">
        <v>0.00018439</v>
      </c>
      <c r="AV4" s="15" t="n">
        <v>0.00018255</v>
      </c>
      <c r="AW4" s="15" t="n">
        <v>0.00018072</v>
      </c>
      <c r="AX4" s="15" t="n">
        <v>0.00017892</v>
      </c>
      <c r="AY4" s="15" t="n">
        <v>0.00017713</v>
      </c>
      <c r="AZ4" s="15" t="n">
        <v>0.00017536</v>
      </c>
      <c r="BA4" s="15" t="n">
        <v>0.0001736</v>
      </c>
      <c r="BB4" s="15" t="n">
        <v>0.00017187</v>
      </c>
      <c r="BC4" s="15" t="n">
        <v>0.00017015</v>
      </c>
      <c r="BD4" s="15" t="n">
        <v>0.00016845</v>
      </c>
      <c r="BE4" s="15" t="n">
        <v>0.00016676</v>
      </c>
      <c r="BF4" s="15" t="n">
        <v>0.00016509</v>
      </c>
      <c r="BG4" s="15" t="n">
        <v>0.00016344</v>
      </c>
      <c r="BH4" s="15" t="n">
        <v>0.00016181</v>
      </c>
      <c r="BI4" s="15" t="n">
        <v>0.00016019</v>
      </c>
      <c r="BJ4" s="15" t="n">
        <v>0.00015859</v>
      </c>
      <c r="BK4" s="15" t="n">
        <v>0.000157</v>
      </c>
      <c r="BL4" s="15" t="n">
        <v>0.00015543</v>
      </c>
      <c r="BM4" s="15" t="n">
        <v>0.00015388</v>
      </c>
      <c r="BN4" s="15" t="n">
        <v>0.00015234</v>
      </c>
      <c r="BO4" s="15" t="n">
        <v>0.00015082</v>
      </c>
      <c r="BP4" s="15" t="n">
        <v>0.00014931</v>
      </c>
      <c r="BQ4" s="15" t="n">
        <v>0.00014781</v>
      </c>
      <c r="BR4" s="15" t="n">
        <v>0.00014634</v>
      </c>
      <c r="BS4" s="15" t="n">
        <v>0.00014487</v>
      </c>
      <c r="BT4" s="15" t="n">
        <v>0.00014342</v>
      </c>
      <c r="BU4" s="15" t="n">
        <v>0.00014199</v>
      </c>
      <c r="BV4" s="15" t="n">
        <v>0.00014057</v>
      </c>
      <c r="BW4" s="15" t="n">
        <v>0.00013916</v>
      </c>
      <c r="BX4" s="15" t="n">
        <v>0.00013777</v>
      </c>
    </row>
    <row r="5">
      <c r="A5" t="n">
        <v>22</v>
      </c>
      <c r="B5" s="15" t="n">
        <v>0.0002985</v>
      </c>
      <c r="C5" s="15" t="n">
        <v>0.00029567</v>
      </c>
      <c r="D5" s="15" t="n">
        <v>0.00029283</v>
      </c>
      <c r="E5" s="15" t="n">
        <v>0.00029</v>
      </c>
      <c r="F5" s="15" t="n">
        <v>0.00028718</v>
      </c>
      <c r="G5" s="15" t="n">
        <v>0.00028436</v>
      </c>
      <c r="H5" s="15" t="n">
        <v>0.00028155</v>
      </c>
      <c r="I5" s="15" t="n">
        <v>0.00027875</v>
      </c>
      <c r="J5" s="15" t="n">
        <v>0.00027598</v>
      </c>
      <c r="K5" s="15" t="n">
        <v>0.00027322</v>
      </c>
      <c r="L5" s="15" t="n">
        <v>0.00027049</v>
      </c>
      <c r="M5" s="15" t="n">
        <v>0.00026778</v>
      </c>
      <c r="N5" s="15" t="n">
        <v>0.0002651</v>
      </c>
      <c r="O5" s="15" t="n">
        <v>0.00026245</v>
      </c>
      <c r="P5" s="15" t="n">
        <v>0.00025983</v>
      </c>
      <c r="Q5" s="15" t="n">
        <v>0.00025723</v>
      </c>
      <c r="R5" s="15" t="n">
        <v>0.00025466</v>
      </c>
      <c r="S5" s="15" t="n">
        <v>0.00025211</v>
      </c>
      <c r="T5" s="15" t="n">
        <v>0.00024959</v>
      </c>
      <c r="U5" s="15" t="n">
        <v>0.00024709</v>
      </c>
      <c r="V5" s="15" t="n">
        <v>0.00024462</v>
      </c>
      <c r="W5" s="15" t="n">
        <v>0.00024218</v>
      </c>
      <c r="X5" s="15" t="n">
        <v>0.00023975</v>
      </c>
      <c r="Y5" s="15" t="n">
        <v>0.00023736</v>
      </c>
      <c r="Z5" s="15" t="n">
        <v>0.00023498</v>
      </c>
      <c r="AA5" s="15" t="n">
        <v>0.00023263</v>
      </c>
      <c r="AB5" s="15" t="n">
        <v>0.00023031</v>
      </c>
      <c r="AC5" s="15" t="n">
        <v>0.000228</v>
      </c>
      <c r="AD5" s="15" t="n">
        <v>0.00022572</v>
      </c>
      <c r="AE5" s="15" t="n">
        <v>0.00022347</v>
      </c>
      <c r="AF5" s="15" t="n">
        <v>0.00022123</v>
      </c>
      <c r="AG5" s="15" t="n">
        <v>0.00021902</v>
      </c>
      <c r="AH5" s="15" t="n">
        <v>0.00021683</v>
      </c>
      <c r="AI5" s="15" t="n">
        <v>0.00021466</v>
      </c>
      <c r="AJ5" s="15" t="n">
        <v>0.00021252</v>
      </c>
      <c r="AK5" s="15" t="n">
        <v>0.00021039</v>
      </c>
      <c r="AL5" s="15" t="n">
        <v>0.00020829</v>
      </c>
      <c r="AM5" s="15" t="n">
        <v>0.0002062</v>
      </c>
      <c r="AN5" s="15" t="n">
        <v>0.00020414</v>
      </c>
      <c r="AO5" s="15" t="n">
        <v>0.0002021</v>
      </c>
      <c r="AP5" s="15" t="n">
        <v>0.00020008</v>
      </c>
      <c r="AQ5" s="15" t="n">
        <v>0.00019808</v>
      </c>
      <c r="AR5" s="15" t="n">
        <v>0.0001961</v>
      </c>
      <c r="AS5" s="15" t="n">
        <v>0.00019414</v>
      </c>
      <c r="AT5" s="15" t="n">
        <v>0.00019219</v>
      </c>
      <c r="AU5" s="15" t="n">
        <v>0.00019027</v>
      </c>
      <c r="AV5" s="15" t="n">
        <v>0.00018837</v>
      </c>
      <c r="AW5" s="15" t="n">
        <v>0.00018649</v>
      </c>
      <c r="AX5" s="15" t="n">
        <v>0.00018462</v>
      </c>
      <c r="AY5" s="15" t="n">
        <v>0.00018278</v>
      </c>
      <c r="AZ5" s="15" t="n">
        <v>0.00018095</v>
      </c>
      <c r="BA5" s="15" t="n">
        <v>0.00017914</v>
      </c>
      <c r="BB5" s="15" t="n">
        <v>0.00017735</v>
      </c>
      <c r="BC5" s="15" t="n">
        <v>0.00017557</v>
      </c>
      <c r="BD5" s="15" t="n">
        <v>0.00017382</v>
      </c>
      <c r="BE5" s="15" t="n">
        <v>0.00017208</v>
      </c>
      <c r="BF5" s="15" t="n">
        <v>0.00017036</v>
      </c>
      <c r="BG5" s="15" t="n">
        <v>0.00016866</v>
      </c>
      <c r="BH5" s="15" t="n">
        <v>0.00016697</v>
      </c>
      <c r="BI5" s="15" t="n">
        <v>0.0001653</v>
      </c>
      <c r="BJ5" s="15" t="n">
        <v>0.00016365</v>
      </c>
      <c r="BK5" s="15" t="n">
        <v>0.00016201</v>
      </c>
      <c r="BL5" s="15" t="n">
        <v>0.00016039</v>
      </c>
      <c r="BM5" s="15" t="n">
        <v>0.00015879</v>
      </c>
      <c r="BN5" s="15" t="n">
        <v>0.0001572</v>
      </c>
      <c r="BO5" s="15" t="n">
        <v>0.00015563</v>
      </c>
      <c r="BP5" s="15" t="n">
        <v>0.00015407</v>
      </c>
      <c r="BQ5" s="15" t="n">
        <v>0.00015253</v>
      </c>
      <c r="BR5" s="15" t="n">
        <v>0.000151</v>
      </c>
      <c r="BS5" s="15" t="n">
        <v>0.00014949</v>
      </c>
      <c r="BT5" s="15" t="n">
        <v>0.000148</v>
      </c>
      <c r="BU5" s="15" t="n">
        <v>0.00014652</v>
      </c>
      <c r="BV5" s="15" t="n">
        <v>0.00014505</v>
      </c>
      <c r="BW5" s="15" t="n">
        <v>0.0001436</v>
      </c>
      <c r="BX5" s="15" t="n">
        <v>0.00014217</v>
      </c>
    </row>
    <row r="6">
      <c r="A6" t="n">
        <v>23</v>
      </c>
      <c r="B6" s="15" t="n">
        <v>0.00030497</v>
      </c>
      <c r="C6" s="15" t="n">
        <v>0.00030206</v>
      </c>
      <c r="D6" s="15" t="n">
        <v>0.00029915</v>
      </c>
      <c r="E6" s="15" t="n">
        <v>0.00029624</v>
      </c>
      <c r="F6" s="15" t="n">
        <v>0.00029335</v>
      </c>
      <c r="G6" s="15" t="n">
        <v>0.00029046</v>
      </c>
      <c r="H6" s="15" t="n">
        <v>0.00028759</v>
      </c>
      <c r="I6" s="15" t="n">
        <v>0.00028473</v>
      </c>
      <c r="J6" s="15" t="n">
        <v>0.00028189</v>
      </c>
      <c r="K6" s="15" t="n">
        <v>0.00027908</v>
      </c>
      <c r="L6" s="15" t="n">
        <v>0.00027629</v>
      </c>
      <c r="M6" s="15" t="n">
        <v>0.00027352</v>
      </c>
      <c r="N6" s="15" t="n">
        <v>0.00027079</v>
      </c>
      <c r="O6" s="15" t="n">
        <v>0.00026808</v>
      </c>
      <c r="P6" s="15" t="n">
        <v>0.0002654</v>
      </c>
      <c r="Q6" s="15" t="n">
        <v>0.00026275</v>
      </c>
      <c r="R6" s="15" t="n">
        <v>0.00026012</v>
      </c>
      <c r="S6" s="15" t="n">
        <v>0.00025752</v>
      </c>
      <c r="T6" s="15" t="n">
        <v>0.00025494</v>
      </c>
      <c r="U6" s="15" t="n">
        <v>0.00025239</v>
      </c>
      <c r="V6" s="15" t="n">
        <v>0.00024987</v>
      </c>
      <c r="W6" s="15" t="n">
        <v>0.00024737</v>
      </c>
      <c r="X6" s="15" t="n">
        <v>0.0002449</v>
      </c>
      <c r="Y6" s="15" t="n">
        <v>0.00024245</v>
      </c>
      <c r="Z6" s="15" t="n">
        <v>0.00024002</v>
      </c>
      <c r="AA6" s="15" t="n">
        <v>0.00023762</v>
      </c>
      <c r="AB6" s="15" t="n">
        <v>0.00023525</v>
      </c>
      <c r="AC6" s="15" t="n">
        <v>0.00023289</v>
      </c>
      <c r="AD6" s="15" t="n">
        <v>0.00023057</v>
      </c>
      <c r="AE6" s="15" t="n">
        <v>0.00022826</v>
      </c>
      <c r="AF6" s="15" t="n">
        <v>0.00022598</v>
      </c>
      <c r="AG6" s="15" t="n">
        <v>0.00022372</v>
      </c>
      <c r="AH6" s="15" t="n">
        <v>0.00022148</v>
      </c>
      <c r="AI6" s="15" t="n">
        <v>0.00021927</v>
      </c>
      <c r="AJ6" s="15" t="n">
        <v>0.00021707</v>
      </c>
      <c r="AK6" s="15" t="n">
        <v>0.0002149</v>
      </c>
      <c r="AL6" s="15" t="n">
        <v>0.00021275</v>
      </c>
      <c r="AM6" s="15" t="n">
        <v>0.00021063</v>
      </c>
      <c r="AN6" s="15" t="n">
        <v>0.00020852</v>
      </c>
      <c r="AO6" s="15" t="n">
        <v>0.00020643</v>
      </c>
      <c r="AP6" s="15" t="n">
        <v>0.00020437</v>
      </c>
      <c r="AQ6" s="15" t="n">
        <v>0.00020233</v>
      </c>
      <c r="AR6" s="15" t="n">
        <v>0.0002003</v>
      </c>
      <c r="AS6" s="15" t="n">
        <v>0.0001983</v>
      </c>
      <c r="AT6" s="15" t="n">
        <v>0.00019632</v>
      </c>
      <c r="AU6" s="15" t="n">
        <v>0.00019435</v>
      </c>
      <c r="AV6" s="15" t="n">
        <v>0.00019241</v>
      </c>
      <c r="AW6" s="15" t="n">
        <v>0.00019049</v>
      </c>
      <c r="AX6" s="15" t="n">
        <v>0.00018858</v>
      </c>
      <c r="AY6" s="15" t="n">
        <v>0.0001867</v>
      </c>
      <c r="AZ6" s="15" t="n">
        <v>0.00018483</v>
      </c>
      <c r="BA6" s="15" t="n">
        <v>0.00018298</v>
      </c>
      <c r="BB6" s="15" t="n">
        <v>0.00018115</v>
      </c>
      <c r="BC6" s="15" t="n">
        <v>0.00017934</v>
      </c>
      <c r="BD6" s="15" t="n">
        <v>0.00017755</v>
      </c>
      <c r="BE6" s="15" t="n">
        <v>0.00017577</v>
      </c>
      <c r="BF6" s="15" t="n">
        <v>0.00017401</v>
      </c>
      <c r="BG6" s="15" t="n">
        <v>0.00017227</v>
      </c>
      <c r="BH6" s="15" t="n">
        <v>0.00017055</v>
      </c>
      <c r="BI6" s="15" t="n">
        <v>0.00016884</v>
      </c>
      <c r="BJ6" s="15" t="n">
        <v>0.00016716</v>
      </c>
      <c r="BK6" s="15" t="n">
        <v>0.00016548</v>
      </c>
      <c r="BL6" s="15" t="n">
        <v>0.00016383</v>
      </c>
      <c r="BM6" s="15" t="n">
        <v>0.00016219</v>
      </c>
      <c r="BN6" s="15" t="n">
        <v>0.00016057</v>
      </c>
      <c r="BO6" s="15" t="n">
        <v>0.00015896</v>
      </c>
      <c r="BP6" s="15" t="n">
        <v>0.00015737</v>
      </c>
      <c r="BQ6" s="15" t="n">
        <v>0.0001558</v>
      </c>
      <c r="BR6" s="15" t="n">
        <v>0.00015424</v>
      </c>
      <c r="BS6" s="15" t="n">
        <v>0.0001527</v>
      </c>
      <c r="BT6" s="15" t="n">
        <v>0.00015117</v>
      </c>
      <c r="BU6" s="15" t="n">
        <v>0.00014966</v>
      </c>
      <c r="BV6" s="15" t="n">
        <v>0.00014816</v>
      </c>
      <c r="BW6" s="15" t="n">
        <v>0.00014668</v>
      </c>
      <c r="BX6" s="15" t="n">
        <v>0.00014522</v>
      </c>
    </row>
    <row r="7">
      <c r="A7" t="n">
        <v>24</v>
      </c>
      <c r="B7" s="15" t="n">
        <v>0.00030654</v>
      </c>
      <c r="C7" s="15" t="n">
        <v>0.00030358</v>
      </c>
      <c r="D7" s="15" t="n">
        <v>0.00030063</v>
      </c>
      <c r="E7" s="15" t="n">
        <v>0.00029769</v>
      </c>
      <c r="F7" s="15" t="n">
        <v>0.00029477</v>
      </c>
      <c r="G7" s="15" t="n">
        <v>0.00029186</v>
      </c>
      <c r="H7" s="15" t="n">
        <v>0.00028896</v>
      </c>
      <c r="I7" s="15" t="n">
        <v>0.00028609</v>
      </c>
      <c r="J7" s="15" t="n">
        <v>0.00028323</v>
      </c>
      <c r="K7" s="15" t="n">
        <v>0.0002804</v>
      </c>
      <c r="L7" s="15" t="n">
        <v>0.0002776</v>
      </c>
      <c r="M7" s="15" t="n">
        <v>0.00027482</v>
      </c>
      <c r="N7" s="15" t="n">
        <v>0.00027207</v>
      </c>
      <c r="O7" s="15" t="n">
        <v>0.00026935</v>
      </c>
      <c r="P7" s="15" t="n">
        <v>0.00026666</v>
      </c>
      <c r="Q7" s="15" t="n">
        <v>0.00026399</v>
      </c>
      <c r="R7" s="15" t="n">
        <v>0.00026135</v>
      </c>
      <c r="S7" s="15" t="n">
        <v>0.00025874</v>
      </c>
      <c r="T7" s="15" t="n">
        <v>0.00025615</v>
      </c>
      <c r="U7" s="15" t="n">
        <v>0.00025359</v>
      </c>
      <c r="V7" s="15" t="n">
        <v>0.00025105</v>
      </c>
      <c r="W7" s="15" t="n">
        <v>0.00024854</v>
      </c>
      <c r="X7" s="15" t="n">
        <v>0.00024606</v>
      </c>
      <c r="Y7" s="15" t="n">
        <v>0.0002436</v>
      </c>
      <c r="Z7" s="15" t="n">
        <v>0.00024116</v>
      </c>
      <c r="AA7" s="15" t="n">
        <v>0.00023875</v>
      </c>
      <c r="AB7" s="15" t="n">
        <v>0.00023636</v>
      </c>
      <c r="AC7" s="15" t="n">
        <v>0.000234</v>
      </c>
      <c r="AD7" s="15" t="n">
        <v>0.00023166</v>
      </c>
      <c r="AE7" s="15" t="n">
        <v>0.00022934</v>
      </c>
      <c r="AF7" s="15" t="n">
        <v>0.00022705</v>
      </c>
      <c r="AG7" s="15" t="n">
        <v>0.00022478</v>
      </c>
      <c r="AH7" s="15" t="n">
        <v>0.00022253</v>
      </c>
      <c r="AI7" s="15" t="n">
        <v>0.00022031</v>
      </c>
      <c r="AJ7" s="15" t="n">
        <v>0.0002181</v>
      </c>
      <c r="AK7" s="15" t="n">
        <v>0.00021592</v>
      </c>
      <c r="AL7" s="15" t="n">
        <v>0.00021376</v>
      </c>
      <c r="AM7" s="15" t="n">
        <v>0.00021162</v>
      </c>
      <c r="AN7" s="15" t="n">
        <v>0.00020951</v>
      </c>
      <c r="AO7" s="15" t="n">
        <v>0.00020741</v>
      </c>
      <c r="AP7" s="15" t="n">
        <v>0.00020534</v>
      </c>
      <c r="AQ7" s="15" t="n">
        <v>0.00020329</v>
      </c>
      <c r="AR7" s="15" t="n">
        <v>0.00020125</v>
      </c>
      <c r="AS7" s="15" t="n">
        <v>0.00019924</v>
      </c>
      <c r="AT7" s="15" t="n">
        <v>0.00019725</v>
      </c>
      <c r="AU7" s="15" t="n">
        <v>0.00019528</v>
      </c>
      <c r="AV7" s="15" t="n">
        <v>0.00019332</v>
      </c>
      <c r="AW7" s="15" t="n">
        <v>0.00019139</v>
      </c>
      <c r="AX7" s="15" t="n">
        <v>0.00018948</v>
      </c>
      <c r="AY7" s="15" t="n">
        <v>0.00018758</v>
      </c>
      <c r="AZ7" s="15" t="n">
        <v>0.00018571</v>
      </c>
      <c r="BA7" s="15" t="n">
        <v>0.00018385</v>
      </c>
      <c r="BB7" s="15" t="n">
        <v>0.00018201</v>
      </c>
      <c r="BC7" s="15" t="n">
        <v>0.00018019</v>
      </c>
      <c r="BD7" s="15" t="n">
        <v>0.00017839</v>
      </c>
      <c r="BE7" s="15" t="n">
        <v>0.0001766</v>
      </c>
      <c r="BF7" s="15" t="n">
        <v>0.00017484</v>
      </c>
      <c r="BG7" s="15" t="n">
        <v>0.00017309</v>
      </c>
      <c r="BH7" s="15" t="n">
        <v>0.00017136</v>
      </c>
      <c r="BI7" s="15" t="n">
        <v>0.00016965</v>
      </c>
      <c r="BJ7" s="15" t="n">
        <v>0.00016795</v>
      </c>
      <c r="BK7" s="15" t="n">
        <v>0.00016627</v>
      </c>
      <c r="BL7" s="15" t="n">
        <v>0.00016461</v>
      </c>
      <c r="BM7" s="15" t="n">
        <v>0.00016296</v>
      </c>
      <c r="BN7" s="15" t="n">
        <v>0.00016133</v>
      </c>
      <c r="BO7" s="15" t="n">
        <v>0.00015972</v>
      </c>
      <c r="BP7" s="15" t="n">
        <v>0.00015812</v>
      </c>
      <c r="BQ7" s="15" t="n">
        <v>0.00015654</v>
      </c>
      <c r="BR7" s="15" t="n">
        <v>0.00015497</v>
      </c>
      <c r="BS7" s="15" t="n">
        <v>0.00015342</v>
      </c>
      <c r="BT7" s="15" t="n">
        <v>0.00015189</v>
      </c>
      <c r="BU7" s="15" t="n">
        <v>0.00015037</v>
      </c>
      <c r="BV7" s="15" t="n">
        <v>0.00014887</v>
      </c>
      <c r="BW7" s="15" t="n">
        <v>0.00014738</v>
      </c>
      <c r="BX7" s="15" t="n">
        <v>0.0001459</v>
      </c>
    </row>
    <row r="8">
      <c r="A8" t="n">
        <v>25</v>
      </c>
      <c r="B8" s="15" t="n">
        <v>0.00030115</v>
      </c>
      <c r="C8" s="15" t="n">
        <v>0.0002982</v>
      </c>
      <c r="D8" s="15" t="n">
        <v>0.00029528</v>
      </c>
      <c r="E8" s="15" t="n">
        <v>0.00029237</v>
      </c>
      <c r="F8" s="15" t="n">
        <v>0.00028948</v>
      </c>
      <c r="G8" s="15" t="n">
        <v>0.00028661</v>
      </c>
      <c r="H8" s="15" t="n">
        <v>0.00028376</v>
      </c>
      <c r="I8" s="15" t="n">
        <v>0.00028093</v>
      </c>
      <c r="J8" s="15" t="n">
        <v>0.00027812</v>
      </c>
      <c r="K8" s="15" t="n">
        <v>0.00027534</v>
      </c>
      <c r="L8" s="15" t="n">
        <v>0.00027259</v>
      </c>
      <c r="M8" s="15" t="n">
        <v>0.00026986</v>
      </c>
      <c r="N8" s="15" t="n">
        <v>0.00026717</v>
      </c>
      <c r="O8" s="15" t="n">
        <v>0.00026449</v>
      </c>
      <c r="P8" s="15" t="n">
        <v>0.00026185</v>
      </c>
      <c r="Q8" s="15" t="n">
        <v>0.00025923</v>
      </c>
      <c r="R8" s="15" t="n">
        <v>0.00025664</v>
      </c>
      <c r="S8" s="15" t="n">
        <v>0.00025407</v>
      </c>
      <c r="T8" s="15" t="n">
        <v>0.00025153</v>
      </c>
      <c r="U8" s="15" t="n">
        <v>0.00024902</v>
      </c>
      <c r="V8" s="15" t="n">
        <v>0.00024653</v>
      </c>
      <c r="W8" s="15" t="n">
        <v>0.00024406</v>
      </c>
      <c r="X8" s="15" t="n">
        <v>0.00024162</v>
      </c>
      <c r="Y8" s="15" t="n">
        <v>0.0002392</v>
      </c>
      <c r="Z8" s="15" t="n">
        <v>0.00023681</v>
      </c>
      <c r="AA8" s="15" t="n">
        <v>0.00023444</v>
      </c>
      <c r="AB8" s="15" t="n">
        <v>0.0002321</v>
      </c>
      <c r="AC8" s="15" t="n">
        <v>0.00022978</v>
      </c>
      <c r="AD8" s="15" t="n">
        <v>0.00022748</v>
      </c>
      <c r="AE8" s="15" t="n">
        <v>0.00022521</v>
      </c>
      <c r="AF8" s="15" t="n">
        <v>0.00022295</v>
      </c>
      <c r="AG8" s="15" t="n">
        <v>0.00022072</v>
      </c>
      <c r="AH8" s="15" t="n">
        <v>0.00021852</v>
      </c>
      <c r="AI8" s="15" t="n">
        <v>0.00021633</v>
      </c>
      <c r="AJ8" s="15" t="n">
        <v>0.00021417</v>
      </c>
      <c r="AK8" s="15" t="n">
        <v>0.00021203</v>
      </c>
      <c r="AL8" s="15" t="n">
        <v>0.00020991</v>
      </c>
      <c r="AM8" s="15" t="n">
        <v>0.00020781</v>
      </c>
      <c r="AN8" s="15" t="n">
        <v>0.00020573</v>
      </c>
      <c r="AO8" s="15" t="n">
        <v>0.00020367</v>
      </c>
      <c r="AP8" s="15" t="n">
        <v>0.00020164</v>
      </c>
      <c r="AQ8" s="15" t="n">
        <v>0.00019962</v>
      </c>
      <c r="AR8" s="15" t="n">
        <v>0.00019762</v>
      </c>
      <c r="AS8" s="15" t="n">
        <v>0.00019565</v>
      </c>
      <c r="AT8" s="15" t="n">
        <v>0.00019369</v>
      </c>
      <c r="AU8" s="15" t="n">
        <v>0.00019175</v>
      </c>
      <c r="AV8" s="15" t="n">
        <v>0.00018984</v>
      </c>
      <c r="AW8" s="15" t="n">
        <v>0.00018794</v>
      </c>
      <c r="AX8" s="15" t="n">
        <v>0.00018606</v>
      </c>
      <c r="AY8" s="15" t="n">
        <v>0.0001842</v>
      </c>
      <c r="AZ8" s="15" t="n">
        <v>0.00018236</v>
      </c>
      <c r="BA8" s="15" t="n">
        <v>0.00018053</v>
      </c>
      <c r="BB8" s="15" t="n">
        <v>0.00017873</v>
      </c>
      <c r="BC8" s="15" t="n">
        <v>0.00017694</v>
      </c>
      <c r="BD8" s="15" t="n">
        <v>0.00017517</v>
      </c>
      <c r="BE8" s="15" t="n">
        <v>0.00017342</v>
      </c>
      <c r="BF8" s="15" t="n">
        <v>0.00017168</v>
      </c>
      <c r="BG8" s="15" t="n">
        <v>0.00016997</v>
      </c>
      <c r="BH8" s="15" t="n">
        <v>0.00016827</v>
      </c>
      <c r="BI8" s="15" t="n">
        <v>0.00016658</v>
      </c>
      <c r="BJ8" s="15" t="n">
        <v>0.00016492</v>
      </c>
      <c r="BK8" s="15" t="n">
        <v>0.00016327</v>
      </c>
      <c r="BL8" s="15" t="n">
        <v>0.00016164</v>
      </c>
      <c r="BM8" s="15" t="n">
        <v>0.00016002</v>
      </c>
      <c r="BN8" s="15" t="n">
        <v>0.00015842</v>
      </c>
      <c r="BO8" s="15" t="n">
        <v>0.00015684</v>
      </c>
      <c r="BP8" s="15" t="n">
        <v>0.00015527</v>
      </c>
      <c r="BQ8" s="15" t="n">
        <v>0.00015372</v>
      </c>
      <c r="BR8" s="15" t="n">
        <v>0.00015218</v>
      </c>
      <c r="BS8" s="15" t="n">
        <v>0.00015066</v>
      </c>
      <c r="BT8" s="15" t="n">
        <v>0.00014915</v>
      </c>
      <c r="BU8" s="15" t="n">
        <v>0.00014766</v>
      </c>
      <c r="BV8" s="15" t="n">
        <v>0.00014618</v>
      </c>
      <c r="BW8" s="15" t="n">
        <v>0.00014472</v>
      </c>
      <c r="BX8" s="15" t="n">
        <v>0.00014327</v>
      </c>
    </row>
    <row r="9">
      <c r="A9" t="n">
        <v>26</v>
      </c>
      <c r="B9" s="15" t="n">
        <v>0.00029993</v>
      </c>
      <c r="C9" s="15" t="n">
        <v>0.00029696</v>
      </c>
      <c r="D9" s="15" t="n">
        <v>0.00029402</v>
      </c>
      <c r="E9" s="15" t="n">
        <v>0.0002911</v>
      </c>
      <c r="F9" s="15" t="n">
        <v>0.00028821</v>
      </c>
      <c r="G9" s="15" t="n">
        <v>0.00028534</v>
      </c>
      <c r="H9" s="15" t="n">
        <v>0.00028249</v>
      </c>
      <c r="I9" s="15" t="n">
        <v>0.00027967</v>
      </c>
      <c r="J9" s="15" t="n">
        <v>0.00027688</v>
      </c>
      <c r="K9" s="15" t="n">
        <v>0.00027411</v>
      </c>
      <c r="L9" s="15" t="n">
        <v>0.00027137</v>
      </c>
      <c r="M9" s="15" t="n">
        <v>0.00026865</v>
      </c>
      <c r="N9" s="15" t="n">
        <v>0.00026597</v>
      </c>
      <c r="O9" s="15" t="n">
        <v>0.00026331</v>
      </c>
      <c r="P9" s="15" t="n">
        <v>0.00026067</v>
      </c>
      <c r="Q9" s="15" t="n">
        <v>0.00025807</v>
      </c>
      <c r="R9" s="15" t="n">
        <v>0.00025549</v>
      </c>
      <c r="S9" s="15" t="n">
        <v>0.00025293</v>
      </c>
      <c r="T9" s="15" t="n">
        <v>0.0002504</v>
      </c>
      <c r="U9" s="15" t="n">
        <v>0.0002479</v>
      </c>
      <c r="V9" s="15" t="n">
        <v>0.00024542</v>
      </c>
      <c r="W9" s="15" t="n">
        <v>0.00024296</v>
      </c>
      <c r="X9" s="15" t="n">
        <v>0.00024053</v>
      </c>
      <c r="Y9" s="15" t="n">
        <v>0.00023813</v>
      </c>
      <c r="Z9" s="15" t="n">
        <v>0.00023575</v>
      </c>
      <c r="AA9" s="15" t="n">
        <v>0.00023339</v>
      </c>
      <c r="AB9" s="15" t="n">
        <v>0.00023106</v>
      </c>
      <c r="AC9" s="15" t="n">
        <v>0.00022875</v>
      </c>
      <c r="AD9" s="15" t="n">
        <v>0.00022646</v>
      </c>
      <c r="AE9" s="15" t="n">
        <v>0.00022419</v>
      </c>
      <c r="AF9" s="15" t="n">
        <v>0.00022195</v>
      </c>
      <c r="AG9" s="15" t="n">
        <v>0.00021973</v>
      </c>
      <c r="AH9" s="15" t="n">
        <v>0.00021754</v>
      </c>
      <c r="AI9" s="15" t="n">
        <v>0.00021536</v>
      </c>
      <c r="AJ9" s="15" t="n">
        <v>0.00021321</v>
      </c>
      <c r="AK9" s="15" t="n">
        <v>0.00021107</v>
      </c>
      <c r="AL9" s="15" t="n">
        <v>0.00020896</v>
      </c>
      <c r="AM9" s="15" t="n">
        <v>0.00020687</v>
      </c>
      <c r="AN9" s="15" t="n">
        <v>0.00020481</v>
      </c>
      <c r="AO9" s="15" t="n">
        <v>0.00020276</v>
      </c>
      <c r="AP9" s="15" t="n">
        <v>0.00020073</v>
      </c>
      <c r="AQ9" s="15" t="n">
        <v>0.00019872</v>
      </c>
      <c r="AR9" s="15" t="n">
        <v>0.00019674</v>
      </c>
      <c r="AS9" s="15" t="n">
        <v>0.00019477</v>
      </c>
      <c r="AT9" s="15" t="n">
        <v>0.00019282</v>
      </c>
      <c r="AU9" s="15" t="n">
        <v>0.00019089</v>
      </c>
      <c r="AV9" s="15" t="n">
        <v>0.00018898</v>
      </c>
      <c r="AW9" s="15" t="n">
        <v>0.00018709</v>
      </c>
      <c r="AX9" s="15" t="n">
        <v>0.00018522</v>
      </c>
      <c r="AY9" s="15" t="n">
        <v>0.00018337</v>
      </c>
      <c r="AZ9" s="15" t="n">
        <v>0.00018154</v>
      </c>
      <c r="BA9" s="15" t="n">
        <v>0.00017972</v>
      </c>
      <c r="BB9" s="15" t="n">
        <v>0.00017792</v>
      </c>
      <c r="BC9" s="15" t="n">
        <v>0.00017614</v>
      </c>
      <c r="BD9" s="15" t="n">
        <v>0.00017438</v>
      </c>
      <c r="BE9" s="15" t="n">
        <v>0.00017264</v>
      </c>
      <c r="BF9" s="15" t="n">
        <v>0.00017091</v>
      </c>
      <c r="BG9" s="15" t="n">
        <v>0.0001692</v>
      </c>
      <c r="BH9" s="15" t="n">
        <v>0.00016751</v>
      </c>
      <c r="BI9" s="15" t="n">
        <v>0.00016584</v>
      </c>
      <c r="BJ9" s="15" t="n">
        <v>0.00016418</v>
      </c>
      <c r="BK9" s="15" t="n">
        <v>0.00016254</v>
      </c>
      <c r="BL9" s="15" t="n">
        <v>0.00016091</v>
      </c>
      <c r="BM9" s="15" t="n">
        <v>0.0001593</v>
      </c>
      <c r="BN9" s="15" t="n">
        <v>0.00015771</v>
      </c>
      <c r="BO9" s="15" t="n">
        <v>0.00015613</v>
      </c>
      <c r="BP9" s="15" t="n">
        <v>0.00015457</v>
      </c>
      <c r="BQ9" s="15" t="n">
        <v>0.00015302</v>
      </c>
      <c r="BR9" s="15" t="n">
        <v>0.00015149</v>
      </c>
      <c r="BS9" s="15" t="n">
        <v>0.00014998</v>
      </c>
      <c r="BT9" s="15" t="n">
        <v>0.00014848</v>
      </c>
      <c r="BU9" s="15" t="n">
        <v>0.000147</v>
      </c>
      <c r="BV9" s="15" t="n">
        <v>0.00014553</v>
      </c>
      <c r="BW9" s="15" t="n">
        <v>0.00014407</v>
      </c>
      <c r="BX9" s="15" t="n">
        <v>0.00014263</v>
      </c>
    </row>
    <row r="10">
      <c r="A10" t="n">
        <v>27</v>
      </c>
      <c r="B10" s="15" t="n">
        <v>0.00030761</v>
      </c>
      <c r="C10" s="15" t="n">
        <v>0.00030453</v>
      </c>
      <c r="D10" s="15" t="n">
        <v>0.00030149</v>
      </c>
      <c r="E10" s="15" t="n">
        <v>0.00029848</v>
      </c>
      <c r="F10" s="15" t="n">
        <v>0.00029549</v>
      </c>
      <c r="G10" s="15" t="n">
        <v>0.00029254</v>
      </c>
      <c r="H10" s="15" t="n">
        <v>0.00028962</v>
      </c>
      <c r="I10" s="15" t="n">
        <v>0.00028672</v>
      </c>
      <c r="J10" s="15" t="n">
        <v>0.00028385</v>
      </c>
      <c r="K10" s="15" t="n">
        <v>0.00028101</v>
      </c>
      <c r="L10" s="15" t="n">
        <v>0.0002782</v>
      </c>
      <c r="M10" s="15" t="n">
        <v>0.00027542</v>
      </c>
      <c r="N10" s="15" t="n">
        <v>0.00027267</v>
      </c>
      <c r="O10" s="15" t="n">
        <v>0.00026994</v>
      </c>
      <c r="P10" s="15" t="n">
        <v>0.00026724</v>
      </c>
      <c r="Q10" s="15" t="n">
        <v>0.00026457</v>
      </c>
      <c r="R10" s="15" t="n">
        <v>0.00026192</v>
      </c>
      <c r="S10" s="15" t="n">
        <v>0.0002593</v>
      </c>
      <c r="T10" s="15" t="n">
        <v>0.00025671</v>
      </c>
      <c r="U10" s="15" t="n">
        <v>0.00025414</v>
      </c>
      <c r="V10" s="15" t="n">
        <v>0.0002516</v>
      </c>
      <c r="W10" s="15" t="n">
        <v>0.00024909</v>
      </c>
      <c r="X10" s="15" t="n">
        <v>0.0002466</v>
      </c>
      <c r="Y10" s="15" t="n">
        <v>0.00024413</v>
      </c>
      <c r="Z10" s="15" t="n">
        <v>0.00024169</v>
      </c>
      <c r="AA10" s="15" t="n">
        <v>0.00023927</v>
      </c>
      <c r="AB10" s="15" t="n">
        <v>0.00023688</v>
      </c>
      <c r="AC10" s="15" t="n">
        <v>0.00023451</v>
      </c>
      <c r="AD10" s="15" t="n">
        <v>0.00023217</v>
      </c>
      <c r="AE10" s="15" t="n">
        <v>0.00022984</v>
      </c>
      <c r="AF10" s="15" t="n">
        <v>0.00022755</v>
      </c>
      <c r="AG10" s="15" t="n">
        <v>0.00022527</v>
      </c>
      <c r="AH10" s="15" t="n">
        <v>0.00022302</v>
      </c>
      <c r="AI10" s="15" t="n">
        <v>0.00022079</v>
      </c>
      <c r="AJ10" s="15" t="n">
        <v>0.00021858</v>
      </c>
      <c r="AK10" s="15" t="n">
        <v>0.00021639</v>
      </c>
      <c r="AL10" s="15" t="n">
        <v>0.00021423</v>
      </c>
      <c r="AM10" s="15" t="n">
        <v>0.00021209</v>
      </c>
      <c r="AN10" s="15" t="n">
        <v>0.00020997</v>
      </c>
      <c r="AO10" s="15" t="n">
        <v>0.00020787</v>
      </c>
      <c r="AP10" s="15" t="n">
        <v>0.00020579</v>
      </c>
      <c r="AQ10" s="15" t="n">
        <v>0.00020373</v>
      </c>
      <c r="AR10" s="15" t="n">
        <v>0.00020169</v>
      </c>
      <c r="AS10" s="15" t="n">
        <v>0.00019968</v>
      </c>
      <c r="AT10" s="15" t="n">
        <v>0.00019768</v>
      </c>
      <c r="AU10" s="15" t="n">
        <v>0.0001957</v>
      </c>
      <c r="AV10" s="15" t="n">
        <v>0.00019375</v>
      </c>
      <c r="AW10" s="15" t="n">
        <v>0.00019181</v>
      </c>
      <c r="AX10" s="15" t="n">
        <v>0.00018989</v>
      </c>
      <c r="AY10" s="15" t="n">
        <v>0.00018799</v>
      </c>
      <c r="AZ10" s="15" t="n">
        <v>0.00018611</v>
      </c>
      <c r="BA10" s="15" t="n">
        <v>0.00018425</v>
      </c>
      <c r="BB10" s="15" t="n">
        <v>0.00018241</v>
      </c>
      <c r="BC10" s="15" t="n">
        <v>0.00018058</v>
      </c>
      <c r="BD10" s="15" t="n">
        <v>0.00017878</v>
      </c>
      <c r="BE10" s="15" t="n">
        <v>0.00017699</v>
      </c>
      <c r="BF10" s="15" t="n">
        <v>0.00017522</v>
      </c>
      <c r="BG10" s="15" t="n">
        <v>0.00017347</v>
      </c>
      <c r="BH10" s="15" t="n">
        <v>0.00017173</v>
      </c>
      <c r="BI10" s="15" t="n">
        <v>0.00017002</v>
      </c>
      <c r="BJ10" s="15" t="n">
        <v>0.00016832</v>
      </c>
      <c r="BK10" s="15" t="n">
        <v>0.00016663</v>
      </c>
      <c r="BL10" s="15" t="n">
        <v>0.00016497</v>
      </c>
      <c r="BM10" s="15" t="n">
        <v>0.00016332</v>
      </c>
      <c r="BN10" s="15" t="n">
        <v>0.00016168</v>
      </c>
      <c r="BO10" s="15" t="n">
        <v>0.00016007</v>
      </c>
      <c r="BP10" s="15" t="n">
        <v>0.00015847</v>
      </c>
      <c r="BQ10" s="15" t="n">
        <v>0.00015688</v>
      </c>
      <c r="BR10" s="15" t="n">
        <v>0.00015531</v>
      </c>
      <c r="BS10" s="15" t="n">
        <v>0.00015376</v>
      </c>
      <c r="BT10" s="15" t="n">
        <v>0.00015222</v>
      </c>
      <c r="BU10" s="15" t="n">
        <v>0.0001507</v>
      </c>
      <c r="BV10" s="15" t="n">
        <v>0.00014919</v>
      </c>
      <c r="BW10" s="15" t="n">
        <v>0.0001477</v>
      </c>
      <c r="BX10" s="15" t="n">
        <v>0.00014622</v>
      </c>
    </row>
    <row r="11">
      <c r="A11" t="n">
        <v>28</v>
      </c>
      <c r="B11" s="15" t="n">
        <v>0.00032527</v>
      </c>
      <c r="C11" s="15" t="n">
        <v>0.000322</v>
      </c>
      <c r="D11" s="15" t="n">
        <v>0.00031876</v>
      </c>
      <c r="E11" s="15" t="n">
        <v>0.00031556</v>
      </c>
      <c r="F11" s="15" t="n">
        <v>0.0003124</v>
      </c>
      <c r="G11" s="15" t="n">
        <v>0.00030927</v>
      </c>
      <c r="H11" s="15" t="n">
        <v>0.00030617</v>
      </c>
      <c r="I11" s="15" t="n">
        <v>0.00030311</v>
      </c>
      <c r="J11" s="15" t="n">
        <v>0.00030008</v>
      </c>
      <c r="K11" s="15" t="n">
        <v>0.00029707</v>
      </c>
      <c r="L11" s="15" t="n">
        <v>0.0002941</v>
      </c>
      <c r="M11" s="15" t="n">
        <v>0.00029116</v>
      </c>
      <c r="N11" s="15" t="n">
        <v>0.00028825</v>
      </c>
      <c r="O11" s="15" t="n">
        <v>0.00028537</v>
      </c>
      <c r="P11" s="15" t="n">
        <v>0.00028251</v>
      </c>
      <c r="Q11" s="15" t="n">
        <v>0.00027969</v>
      </c>
      <c r="R11" s="15" t="n">
        <v>0.00027689</v>
      </c>
      <c r="S11" s="15" t="n">
        <v>0.00027412</v>
      </c>
      <c r="T11" s="15" t="n">
        <v>0.00027138</v>
      </c>
      <c r="U11" s="15" t="n">
        <v>0.00026867</v>
      </c>
      <c r="V11" s="15" t="n">
        <v>0.00026598</v>
      </c>
      <c r="W11" s="15" t="n">
        <v>0.00026332</v>
      </c>
      <c r="X11" s="15" t="n">
        <v>0.00026069</v>
      </c>
      <c r="Y11" s="15" t="n">
        <v>0.00025808</v>
      </c>
      <c r="Z11" s="15" t="n">
        <v>0.0002555</v>
      </c>
      <c r="AA11" s="15" t="n">
        <v>0.00025295</v>
      </c>
      <c r="AB11" s="15" t="n">
        <v>0.00025042</v>
      </c>
      <c r="AC11" s="15" t="n">
        <v>0.00024791</v>
      </c>
      <c r="AD11" s="15" t="n">
        <v>0.00024543</v>
      </c>
      <c r="AE11" s="15" t="n">
        <v>0.00024298</v>
      </c>
      <c r="AF11" s="15" t="n">
        <v>0.00024055</v>
      </c>
      <c r="AG11" s="15" t="n">
        <v>0.00023814</v>
      </c>
      <c r="AH11" s="15" t="n">
        <v>0.00023576</v>
      </c>
      <c r="AI11" s="15" t="n">
        <v>0.0002334</v>
      </c>
      <c r="AJ11" s="15" t="n">
        <v>0.00023107</v>
      </c>
      <c r="AK11" s="15" t="n">
        <v>0.00022876</v>
      </c>
      <c r="AL11" s="15" t="n">
        <v>0.00022647</v>
      </c>
      <c r="AM11" s="15" t="n">
        <v>0.00022421</v>
      </c>
      <c r="AN11" s="15" t="n">
        <v>0.00022197</v>
      </c>
      <c r="AO11" s="15" t="n">
        <v>0.00021975</v>
      </c>
      <c r="AP11" s="15" t="n">
        <v>0.00021755</v>
      </c>
      <c r="AQ11" s="15" t="n">
        <v>0.00021537</v>
      </c>
      <c r="AR11" s="15" t="n">
        <v>0.00021322</v>
      </c>
      <c r="AS11" s="15" t="n">
        <v>0.00021109</v>
      </c>
      <c r="AT11" s="15" t="n">
        <v>0.00020898</v>
      </c>
      <c r="AU11" s="15" t="n">
        <v>0.00020689</v>
      </c>
      <c r="AV11" s="15" t="n">
        <v>0.00020482</v>
      </c>
      <c r="AW11" s="15" t="n">
        <v>0.00020277</v>
      </c>
      <c r="AX11" s="15" t="n">
        <v>0.00020074</v>
      </c>
      <c r="AY11" s="15" t="n">
        <v>0.00019873</v>
      </c>
      <c r="AZ11" s="15" t="n">
        <v>0.00019675</v>
      </c>
      <c r="BA11" s="15" t="n">
        <v>0.00019478</v>
      </c>
      <c r="BB11" s="15" t="n">
        <v>0.00019283</v>
      </c>
      <c r="BC11" s="15" t="n">
        <v>0.0001909</v>
      </c>
      <c r="BD11" s="15" t="n">
        <v>0.00018899</v>
      </c>
      <c r="BE11" s="15" t="n">
        <v>0.0001871</v>
      </c>
      <c r="BF11" s="15" t="n">
        <v>0.00018523</v>
      </c>
      <c r="BG11" s="15" t="n">
        <v>0.00018338</v>
      </c>
      <c r="BH11" s="15" t="n">
        <v>0.00018155</v>
      </c>
      <c r="BI11" s="15" t="n">
        <v>0.00017973</v>
      </c>
      <c r="BJ11" s="15" t="n">
        <v>0.00017793</v>
      </c>
      <c r="BK11" s="15" t="n">
        <v>0.00017616</v>
      </c>
      <c r="BL11" s="15" t="n">
        <v>0.00017439</v>
      </c>
      <c r="BM11" s="15" t="n">
        <v>0.00017265</v>
      </c>
      <c r="BN11" s="15" t="n">
        <v>0.00017092</v>
      </c>
      <c r="BO11" s="15" t="n">
        <v>0.00016921</v>
      </c>
      <c r="BP11" s="15" t="n">
        <v>0.00016752</v>
      </c>
      <c r="BQ11" s="15" t="n">
        <v>0.00016585</v>
      </c>
      <c r="BR11" s="15" t="n">
        <v>0.00016419</v>
      </c>
      <c r="BS11" s="15" t="n">
        <v>0.00016255</v>
      </c>
      <c r="BT11" s="15" t="n">
        <v>0.00016092</v>
      </c>
      <c r="BU11" s="15" t="n">
        <v>0.00015931</v>
      </c>
      <c r="BV11" s="15" t="n">
        <v>0.00015772</v>
      </c>
      <c r="BW11" s="15" t="n">
        <v>0.00015614</v>
      </c>
      <c r="BX11" s="15" t="n">
        <v>0.00015458</v>
      </c>
    </row>
    <row r="12">
      <c r="A12" t="n">
        <v>29</v>
      </c>
      <c r="B12" s="15" t="n">
        <v>0.0003419</v>
      </c>
      <c r="C12" s="15" t="n">
        <v>0.00033845</v>
      </c>
      <c r="D12" s="15" t="n">
        <v>0.00033504</v>
      </c>
      <c r="E12" s="15" t="n">
        <v>0.00033166</v>
      </c>
      <c r="F12" s="15" t="n">
        <v>0.00032833</v>
      </c>
      <c r="G12" s="15" t="n">
        <v>0.00032504</v>
      </c>
      <c r="H12" s="15" t="n">
        <v>0.00032178</v>
      </c>
      <c r="I12" s="15" t="n">
        <v>0.00031856</v>
      </c>
      <c r="J12" s="15" t="n">
        <v>0.00031537</v>
      </c>
      <c r="K12" s="15" t="n">
        <v>0.00031222</v>
      </c>
      <c r="L12" s="15" t="n">
        <v>0.00030909</v>
      </c>
      <c r="M12" s="15" t="n">
        <v>0.000306</v>
      </c>
      <c r="N12" s="15" t="n">
        <v>0.00030294</v>
      </c>
      <c r="O12" s="15" t="n">
        <v>0.00029991</v>
      </c>
      <c r="P12" s="15" t="n">
        <v>0.00029691</v>
      </c>
      <c r="Q12" s="15" t="n">
        <v>0.00029395</v>
      </c>
      <c r="R12" s="15" t="n">
        <v>0.00029101</v>
      </c>
      <c r="S12" s="15" t="n">
        <v>0.0002881</v>
      </c>
      <c r="T12" s="15" t="n">
        <v>0.00028521</v>
      </c>
      <c r="U12" s="15" t="n">
        <v>0.00028236</v>
      </c>
      <c r="V12" s="15" t="n">
        <v>0.00027954</v>
      </c>
      <c r="W12" s="15" t="n">
        <v>0.00027674</v>
      </c>
      <c r="X12" s="15" t="n">
        <v>0.00027398</v>
      </c>
      <c r="Y12" s="15" t="n">
        <v>0.00027124</v>
      </c>
      <c r="Z12" s="15" t="n">
        <v>0.00026852</v>
      </c>
      <c r="AA12" s="15" t="n">
        <v>0.00026584</v>
      </c>
      <c r="AB12" s="15" t="n">
        <v>0.00026318</v>
      </c>
      <c r="AC12" s="15" t="n">
        <v>0.00026055</v>
      </c>
      <c r="AD12" s="15" t="n">
        <v>0.00025794</v>
      </c>
      <c r="AE12" s="15" t="n">
        <v>0.00025536</v>
      </c>
      <c r="AF12" s="15" t="n">
        <v>0.00025281</v>
      </c>
      <c r="AG12" s="15" t="n">
        <v>0.00025028</v>
      </c>
      <c r="AH12" s="15" t="n">
        <v>0.00024778</v>
      </c>
      <c r="AI12" s="15" t="n">
        <v>0.0002453</v>
      </c>
      <c r="AJ12" s="15" t="n">
        <v>0.00024285</v>
      </c>
      <c r="AK12" s="15" t="n">
        <v>0.00024042</v>
      </c>
      <c r="AL12" s="15" t="n">
        <v>0.00023802</v>
      </c>
      <c r="AM12" s="15" t="n">
        <v>0.00023564</v>
      </c>
      <c r="AN12" s="15" t="n">
        <v>0.00023328</v>
      </c>
      <c r="AO12" s="15" t="n">
        <v>0.00023095</v>
      </c>
      <c r="AP12" s="15" t="n">
        <v>0.00022864</v>
      </c>
      <c r="AQ12" s="15" t="n">
        <v>0.00022635</v>
      </c>
      <c r="AR12" s="15" t="n">
        <v>0.00022409</v>
      </c>
      <c r="AS12" s="15" t="n">
        <v>0.00022185</v>
      </c>
      <c r="AT12" s="15" t="n">
        <v>0.00021963</v>
      </c>
      <c r="AU12" s="15" t="n">
        <v>0.00021743</v>
      </c>
      <c r="AV12" s="15" t="n">
        <v>0.00021526</v>
      </c>
      <c r="AW12" s="15" t="n">
        <v>0.0002131</v>
      </c>
      <c r="AX12" s="15" t="n">
        <v>0.00021097</v>
      </c>
      <c r="AY12" s="15" t="n">
        <v>0.00020886</v>
      </c>
      <c r="AZ12" s="15" t="n">
        <v>0.00020678</v>
      </c>
      <c r="BA12" s="15" t="n">
        <v>0.00020471</v>
      </c>
      <c r="BB12" s="15" t="n">
        <v>0.00020266</v>
      </c>
      <c r="BC12" s="15" t="n">
        <v>0.00020063</v>
      </c>
      <c r="BD12" s="15" t="n">
        <v>0.00019863</v>
      </c>
      <c r="BE12" s="15" t="n">
        <v>0.00019664</v>
      </c>
      <c r="BF12" s="15" t="n">
        <v>0.00019467</v>
      </c>
      <c r="BG12" s="15" t="n">
        <v>0.00019273</v>
      </c>
      <c r="BH12" s="15" t="n">
        <v>0.0001908</v>
      </c>
      <c r="BI12" s="15" t="n">
        <v>0.00018889</v>
      </c>
      <c r="BJ12" s="15" t="n">
        <v>0.000187</v>
      </c>
      <c r="BK12" s="15" t="n">
        <v>0.00018513</v>
      </c>
      <c r="BL12" s="15" t="n">
        <v>0.00018328</v>
      </c>
      <c r="BM12" s="15" t="n">
        <v>0.00018145</v>
      </c>
      <c r="BN12" s="15" t="n">
        <v>0.00017964</v>
      </c>
      <c r="BO12" s="15" t="n">
        <v>0.00017784</v>
      </c>
      <c r="BP12" s="15" t="n">
        <v>0.00017606</v>
      </c>
      <c r="BQ12" s="15" t="n">
        <v>0.0001743</v>
      </c>
      <c r="BR12" s="15" t="n">
        <v>0.00017256</v>
      </c>
      <c r="BS12" s="15" t="n">
        <v>0.00017083</v>
      </c>
      <c r="BT12" s="15" t="n">
        <v>0.00016912</v>
      </c>
      <c r="BU12" s="15" t="n">
        <v>0.00016743</v>
      </c>
      <c r="BV12" s="15" t="n">
        <v>0.00016576</v>
      </c>
      <c r="BW12" s="15" t="n">
        <v>0.0001641</v>
      </c>
      <c r="BX12" s="15" t="n">
        <v>0.00016246</v>
      </c>
    </row>
    <row r="13">
      <c r="A13" t="n">
        <v>30</v>
      </c>
      <c r="B13" s="15" t="n">
        <v>0.00035686</v>
      </c>
      <c r="C13" s="15" t="n">
        <v>0.00035325</v>
      </c>
      <c r="D13" s="15" t="n">
        <v>0.00034969</v>
      </c>
      <c r="E13" s="15" t="n">
        <v>0.00034616</v>
      </c>
      <c r="F13" s="15" t="n">
        <v>0.00034268</v>
      </c>
      <c r="G13" s="15" t="n">
        <v>0.00033924</v>
      </c>
      <c r="H13" s="15" t="n">
        <v>0.00033584</v>
      </c>
      <c r="I13" s="15" t="n">
        <v>0.00033248</v>
      </c>
      <c r="J13" s="15" t="n">
        <v>0.00032915</v>
      </c>
      <c r="K13" s="15" t="n">
        <v>0.00032586</v>
      </c>
      <c r="L13" s="15" t="n">
        <v>0.0003226</v>
      </c>
      <c r="M13" s="15" t="n">
        <v>0.00031938</v>
      </c>
      <c r="N13" s="15" t="n">
        <v>0.00031618</v>
      </c>
      <c r="O13" s="15" t="n">
        <v>0.00031302</v>
      </c>
      <c r="P13" s="15" t="n">
        <v>0.00030989</v>
      </c>
      <c r="Q13" s="15" t="n">
        <v>0.00030679</v>
      </c>
      <c r="R13" s="15" t="n">
        <v>0.00030372</v>
      </c>
      <c r="S13" s="15" t="n">
        <v>0.00030069</v>
      </c>
      <c r="T13" s="15" t="n">
        <v>0.00029768</v>
      </c>
      <c r="U13" s="15" t="n">
        <v>0.0002947</v>
      </c>
      <c r="V13" s="15" t="n">
        <v>0.00029176</v>
      </c>
      <c r="W13" s="15" t="n">
        <v>0.00028884</v>
      </c>
      <c r="X13" s="15" t="n">
        <v>0.00028595</v>
      </c>
      <c r="Y13" s="15" t="n">
        <v>0.00028309</v>
      </c>
      <c r="Z13" s="15" t="n">
        <v>0.00028026</v>
      </c>
      <c r="AA13" s="15" t="n">
        <v>0.00027746</v>
      </c>
      <c r="AB13" s="15" t="n">
        <v>0.00027468</v>
      </c>
      <c r="AC13" s="15" t="n">
        <v>0.00027194</v>
      </c>
      <c r="AD13" s="15" t="n">
        <v>0.00026922</v>
      </c>
      <c r="AE13" s="15" t="n">
        <v>0.00026652</v>
      </c>
      <c r="AF13" s="15" t="n">
        <v>0.00026386</v>
      </c>
      <c r="AG13" s="15" t="n">
        <v>0.00026122</v>
      </c>
      <c r="AH13" s="15" t="n">
        <v>0.00025861</v>
      </c>
      <c r="AI13" s="15" t="n">
        <v>0.00025602</v>
      </c>
      <c r="AJ13" s="15" t="n">
        <v>0.00025346</v>
      </c>
      <c r="AK13" s="15" t="n">
        <v>0.00025093</v>
      </c>
      <c r="AL13" s="15" t="n">
        <v>0.00024842</v>
      </c>
      <c r="AM13" s="15" t="n">
        <v>0.00024593</v>
      </c>
      <c r="AN13" s="15" t="n">
        <v>0.00024347</v>
      </c>
      <c r="AO13" s="15" t="n">
        <v>0.00024104</v>
      </c>
      <c r="AP13" s="15" t="n">
        <v>0.00023863</v>
      </c>
      <c r="AQ13" s="15" t="n">
        <v>0.00023624</v>
      </c>
      <c r="AR13" s="15" t="n">
        <v>0.00023388</v>
      </c>
      <c r="AS13" s="15" t="n">
        <v>0.00023154</v>
      </c>
      <c r="AT13" s="15" t="n">
        <v>0.00022923</v>
      </c>
      <c r="AU13" s="15" t="n">
        <v>0.00022693</v>
      </c>
      <c r="AV13" s="15" t="n">
        <v>0.00022466</v>
      </c>
      <c r="AW13" s="15" t="n">
        <v>0.00022242</v>
      </c>
      <c r="AX13" s="15" t="n">
        <v>0.00022019</v>
      </c>
      <c r="AY13" s="15" t="n">
        <v>0.00021799</v>
      </c>
      <c r="AZ13" s="15" t="n">
        <v>0.00021581</v>
      </c>
      <c r="BA13" s="15" t="n">
        <v>0.00021365</v>
      </c>
      <c r="BB13" s="15" t="n">
        <v>0.00021152</v>
      </c>
      <c r="BC13" s="15" t="n">
        <v>0.0002094</v>
      </c>
      <c r="BD13" s="15" t="n">
        <v>0.00020731</v>
      </c>
      <c r="BE13" s="15" t="n">
        <v>0.00020524</v>
      </c>
      <c r="BF13" s="15" t="n">
        <v>0.00020318</v>
      </c>
      <c r="BG13" s="15" t="n">
        <v>0.00020115</v>
      </c>
      <c r="BH13" s="15" t="n">
        <v>0.00019914</v>
      </c>
      <c r="BI13" s="15" t="n">
        <v>0.00019715</v>
      </c>
      <c r="BJ13" s="15" t="n">
        <v>0.00019518</v>
      </c>
      <c r="BK13" s="15" t="n">
        <v>0.00019322</v>
      </c>
      <c r="BL13" s="15" t="n">
        <v>0.00019129</v>
      </c>
      <c r="BM13" s="15" t="n">
        <v>0.00018938</v>
      </c>
      <c r="BN13" s="15" t="n">
        <v>0.00018749</v>
      </c>
      <c r="BO13" s="15" t="n">
        <v>0.00018561</v>
      </c>
      <c r="BP13" s="15" t="n">
        <v>0.00018375</v>
      </c>
      <c r="BQ13" s="15" t="n">
        <v>0.00018192</v>
      </c>
      <c r="BR13" s="15" t="n">
        <v>0.0001801</v>
      </c>
      <c r="BS13" s="15" t="n">
        <v>0.0001783</v>
      </c>
      <c r="BT13" s="15" t="n">
        <v>0.00017651</v>
      </c>
      <c r="BU13" s="15" t="n">
        <v>0.00017475</v>
      </c>
      <c r="BV13" s="15" t="n">
        <v>0.000173</v>
      </c>
      <c r="BW13" s="15" t="n">
        <v>0.00017127</v>
      </c>
      <c r="BX13" s="15" t="n">
        <v>0.00016956</v>
      </c>
    </row>
    <row r="14">
      <c r="A14" t="n">
        <v>31</v>
      </c>
      <c r="B14" s="15" t="n">
        <v>0.00037149</v>
      </c>
      <c r="C14" s="15" t="n">
        <v>0.00036774</v>
      </c>
      <c r="D14" s="15" t="n">
        <v>0.00036403</v>
      </c>
      <c r="E14" s="15" t="n">
        <v>0.00036037</v>
      </c>
      <c r="F14" s="15" t="n">
        <v>0.00035674</v>
      </c>
      <c r="G14" s="15" t="n">
        <v>0.00035316</v>
      </c>
      <c r="H14" s="15" t="n">
        <v>0.00034962</v>
      </c>
      <c r="I14" s="15" t="n">
        <v>0.00034612</v>
      </c>
      <c r="J14" s="15" t="n">
        <v>0.00034266</v>
      </c>
      <c r="K14" s="15" t="n">
        <v>0.00033923</v>
      </c>
      <c r="L14" s="15" t="n">
        <v>0.00033584</v>
      </c>
      <c r="M14" s="15" t="n">
        <v>0.00033248</v>
      </c>
      <c r="N14" s="15" t="n">
        <v>0.00032916</v>
      </c>
      <c r="O14" s="15" t="n">
        <v>0.00032587</v>
      </c>
      <c r="P14" s="15" t="n">
        <v>0.00032261</v>
      </c>
      <c r="Q14" s="15" t="n">
        <v>0.00031938</v>
      </c>
      <c r="R14" s="15" t="n">
        <v>0.00031619</v>
      </c>
      <c r="S14" s="15" t="n">
        <v>0.00031303</v>
      </c>
      <c r="T14" s="15" t="n">
        <v>0.00030989</v>
      </c>
      <c r="U14" s="15" t="n">
        <v>0.0003068</v>
      </c>
      <c r="V14" s="15" t="n">
        <v>0.00030373</v>
      </c>
      <c r="W14" s="15" t="n">
        <v>0.00030069</v>
      </c>
      <c r="X14" s="15" t="n">
        <v>0.00029768</v>
      </c>
      <c r="Y14" s="15" t="n">
        <v>0.00029471</v>
      </c>
      <c r="Z14" s="15" t="n">
        <v>0.00029176</v>
      </c>
      <c r="AA14" s="15" t="n">
        <v>0.00028884</v>
      </c>
      <c r="AB14" s="15" t="n">
        <v>0.00028595</v>
      </c>
      <c r="AC14" s="15" t="n">
        <v>0.00028309</v>
      </c>
      <c r="AD14" s="15" t="n">
        <v>0.00028026</v>
      </c>
      <c r="AE14" s="15" t="n">
        <v>0.00027746</v>
      </c>
      <c r="AF14" s="15" t="n">
        <v>0.00027469</v>
      </c>
      <c r="AG14" s="15" t="n">
        <v>0.00027194</v>
      </c>
      <c r="AH14" s="15" t="n">
        <v>0.00026922</v>
      </c>
      <c r="AI14" s="15" t="n">
        <v>0.00026653</v>
      </c>
      <c r="AJ14" s="15" t="n">
        <v>0.00026386</v>
      </c>
      <c r="AK14" s="15" t="n">
        <v>0.00026122</v>
      </c>
      <c r="AL14" s="15" t="n">
        <v>0.00025861</v>
      </c>
      <c r="AM14" s="15" t="n">
        <v>0.00025603</v>
      </c>
      <c r="AN14" s="15" t="n">
        <v>0.00025347</v>
      </c>
      <c r="AO14" s="15" t="n">
        <v>0.00025093</v>
      </c>
      <c r="AP14" s="15" t="n">
        <v>0.00024842</v>
      </c>
      <c r="AQ14" s="15" t="n">
        <v>0.00024594</v>
      </c>
      <c r="AR14" s="15" t="n">
        <v>0.00024348</v>
      </c>
      <c r="AS14" s="15" t="n">
        <v>0.00024104</v>
      </c>
      <c r="AT14" s="15" t="n">
        <v>0.00023863</v>
      </c>
      <c r="AU14" s="15" t="n">
        <v>0.00023625</v>
      </c>
      <c r="AV14" s="15" t="n">
        <v>0.00023388</v>
      </c>
      <c r="AW14" s="15" t="n">
        <v>0.00023154</v>
      </c>
      <c r="AX14" s="15" t="n">
        <v>0.00022923</v>
      </c>
      <c r="AY14" s="15" t="n">
        <v>0.00022694</v>
      </c>
      <c r="AZ14" s="15" t="n">
        <v>0.00022467</v>
      </c>
      <c r="BA14" s="15" t="n">
        <v>0.00022242</v>
      </c>
      <c r="BB14" s="15" t="n">
        <v>0.0002202</v>
      </c>
      <c r="BC14" s="15" t="n">
        <v>0.00021799</v>
      </c>
      <c r="BD14" s="15" t="n">
        <v>0.00021581</v>
      </c>
      <c r="BE14" s="15" t="n">
        <v>0.00021366</v>
      </c>
      <c r="BF14" s="15" t="n">
        <v>0.00021152</v>
      </c>
      <c r="BG14" s="15" t="n">
        <v>0.0002094</v>
      </c>
      <c r="BH14" s="15" t="n">
        <v>0.00020731</v>
      </c>
      <c r="BI14" s="15" t="n">
        <v>0.00020524</v>
      </c>
      <c r="BJ14" s="15" t="n">
        <v>0.00020319</v>
      </c>
      <c r="BK14" s="15" t="n">
        <v>0.00020115</v>
      </c>
      <c r="BL14" s="15" t="n">
        <v>0.00019914</v>
      </c>
      <c r="BM14" s="15" t="n">
        <v>0.00019715</v>
      </c>
      <c r="BN14" s="15" t="n">
        <v>0.00019518</v>
      </c>
      <c r="BO14" s="15" t="n">
        <v>0.00019323</v>
      </c>
      <c r="BP14" s="15" t="n">
        <v>0.0001913</v>
      </c>
      <c r="BQ14" s="15" t="n">
        <v>0.00018938</v>
      </c>
      <c r="BR14" s="15" t="n">
        <v>0.00018749</v>
      </c>
      <c r="BS14" s="15" t="n">
        <v>0.00018561</v>
      </c>
      <c r="BT14" s="15" t="n">
        <v>0.00018376</v>
      </c>
      <c r="BU14" s="15" t="n">
        <v>0.00018192</v>
      </c>
      <c r="BV14" s="15" t="n">
        <v>0.0001801</v>
      </c>
      <c r="BW14" s="15" t="n">
        <v>0.0001783</v>
      </c>
      <c r="BX14" s="15" t="n">
        <v>0.00017652</v>
      </c>
    </row>
    <row r="15">
      <c r="A15" t="n">
        <v>32</v>
      </c>
      <c r="B15" s="15" t="n">
        <v>0.00039288</v>
      </c>
      <c r="C15" s="15" t="n">
        <v>0.00038892</v>
      </c>
      <c r="D15" s="15" t="n">
        <v>0.000385</v>
      </c>
      <c r="E15" s="15" t="n">
        <v>0.00038113</v>
      </c>
      <c r="F15" s="15" t="n">
        <v>0.00037731</v>
      </c>
      <c r="G15" s="15" t="n">
        <v>0.00037352</v>
      </c>
      <c r="H15" s="15" t="n">
        <v>0.00036978</v>
      </c>
      <c r="I15" s="15" t="n">
        <v>0.00036608</v>
      </c>
      <c r="J15" s="15" t="n">
        <v>0.00036242</v>
      </c>
      <c r="K15" s="15" t="n">
        <v>0.00035879</v>
      </c>
      <c r="L15" s="15" t="n">
        <v>0.0003552</v>
      </c>
      <c r="M15" s="15" t="n">
        <v>0.00035165</v>
      </c>
      <c r="N15" s="15" t="n">
        <v>0.00034814</v>
      </c>
      <c r="O15" s="15" t="n">
        <v>0.00034465</v>
      </c>
      <c r="P15" s="15" t="n">
        <v>0.00034121</v>
      </c>
      <c r="Q15" s="15" t="n">
        <v>0.0003378</v>
      </c>
      <c r="R15" s="15" t="n">
        <v>0.00033442</v>
      </c>
      <c r="S15" s="15" t="n">
        <v>0.00033107</v>
      </c>
      <c r="T15" s="15" t="n">
        <v>0.00032776</v>
      </c>
      <c r="U15" s="15" t="n">
        <v>0.00032449</v>
      </c>
      <c r="V15" s="15" t="n">
        <v>0.00032124</v>
      </c>
      <c r="W15" s="15" t="n">
        <v>0.00031803</v>
      </c>
      <c r="X15" s="15" t="n">
        <v>0.00031485</v>
      </c>
      <c r="Y15" s="15" t="n">
        <v>0.0003117</v>
      </c>
      <c r="Z15" s="15" t="n">
        <v>0.00030858</v>
      </c>
      <c r="AA15" s="15" t="n">
        <v>0.0003055</v>
      </c>
      <c r="AB15" s="15" t="n">
        <v>0.00030244</v>
      </c>
      <c r="AC15" s="15" t="n">
        <v>0.00029942</v>
      </c>
      <c r="AD15" s="15" t="n">
        <v>0.00029642</v>
      </c>
      <c r="AE15" s="15" t="n">
        <v>0.00029346</v>
      </c>
      <c r="AF15" s="15" t="n">
        <v>0.00029052</v>
      </c>
      <c r="AG15" s="15" t="n">
        <v>0.00028762</v>
      </c>
      <c r="AH15" s="15" t="n">
        <v>0.00028474</v>
      </c>
      <c r="AI15" s="15" t="n">
        <v>0.0002819</v>
      </c>
      <c r="AJ15" s="15" t="n">
        <v>0.00027908</v>
      </c>
      <c r="AK15" s="15" t="n">
        <v>0.00027629</v>
      </c>
      <c r="AL15" s="15" t="n">
        <v>0.00027352</v>
      </c>
      <c r="AM15" s="15" t="n">
        <v>0.00027079</v>
      </c>
      <c r="AN15" s="15" t="n">
        <v>0.00026808</v>
      </c>
      <c r="AO15" s="15" t="n">
        <v>0.0002654</v>
      </c>
      <c r="AP15" s="15" t="n">
        <v>0.00026274</v>
      </c>
      <c r="AQ15" s="15" t="n">
        <v>0.00026012</v>
      </c>
      <c r="AR15" s="15" t="n">
        <v>0.00025752</v>
      </c>
      <c r="AS15" s="15" t="n">
        <v>0.00025494</v>
      </c>
      <c r="AT15" s="15" t="n">
        <v>0.00025239</v>
      </c>
      <c r="AU15" s="15" t="n">
        <v>0.00024987</v>
      </c>
      <c r="AV15" s="15" t="n">
        <v>0.00024737</v>
      </c>
      <c r="AW15" s="15" t="n">
        <v>0.0002449</v>
      </c>
      <c r="AX15" s="15" t="n">
        <v>0.00024245</v>
      </c>
      <c r="AY15" s="15" t="n">
        <v>0.00024002</v>
      </c>
      <c r="AZ15" s="15" t="n">
        <v>0.00023762</v>
      </c>
      <c r="BA15" s="15" t="n">
        <v>0.00023525</v>
      </c>
      <c r="BB15" s="15" t="n">
        <v>0.00023289</v>
      </c>
      <c r="BC15" s="15" t="n">
        <v>0.00023056</v>
      </c>
      <c r="BD15" s="15" t="n">
        <v>0.00022826</v>
      </c>
      <c r="BE15" s="15" t="n">
        <v>0.00022598</v>
      </c>
      <c r="BF15" s="15" t="n">
        <v>0.00022372</v>
      </c>
      <c r="BG15" s="15" t="n">
        <v>0.00022148</v>
      </c>
      <c r="BH15" s="15" t="n">
        <v>0.00021926</v>
      </c>
      <c r="BI15" s="15" t="n">
        <v>0.00021707</v>
      </c>
      <c r="BJ15" s="15" t="n">
        <v>0.0002149</v>
      </c>
      <c r="BK15" s="15" t="n">
        <v>0.00021275</v>
      </c>
      <c r="BL15" s="15" t="n">
        <v>0.00021062</v>
      </c>
      <c r="BM15" s="15" t="n">
        <v>0.00020852</v>
      </c>
      <c r="BN15" s="15" t="n">
        <v>0.00020643</v>
      </c>
      <c r="BO15" s="15" t="n">
        <v>0.00020437</v>
      </c>
      <c r="BP15" s="15" t="n">
        <v>0.00020232</v>
      </c>
      <c r="BQ15" s="15" t="n">
        <v>0.0002003</v>
      </c>
      <c r="BR15" s="15" t="n">
        <v>0.0001983</v>
      </c>
      <c r="BS15" s="15" t="n">
        <v>0.00019632</v>
      </c>
      <c r="BT15" s="15" t="n">
        <v>0.00019435</v>
      </c>
      <c r="BU15" s="15" t="n">
        <v>0.00019241</v>
      </c>
      <c r="BV15" s="15" t="n">
        <v>0.00019048</v>
      </c>
      <c r="BW15" s="15" t="n">
        <v>0.00018858</v>
      </c>
      <c r="BX15" s="15" t="n">
        <v>0.00018669</v>
      </c>
    </row>
    <row r="16">
      <c r="A16" t="n">
        <v>33</v>
      </c>
      <c r="B16" s="15" t="n">
        <v>0.0004161</v>
      </c>
      <c r="C16" s="15" t="n">
        <v>0.00041191</v>
      </c>
      <c r="D16" s="15" t="n">
        <v>0.00040777</v>
      </c>
      <c r="E16" s="15" t="n">
        <v>0.00040368</v>
      </c>
      <c r="F16" s="15" t="n">
        <v>0.00039963</v>
      </c>
      <c r="G16" s="15" t="n">
        <v>0.00039563</v>
      </c>
      <c r="H16" s="15" t="n">
        <v>0.00039167</v>
      </c>
      <c r="I16" s="15" t="n">
        <v>0.00038775</v>
      </c>
      <c r="J16" s="15" t="n">
        <v>0.00038387</v>
      </c>
      <c r="K16" s="15" t="n">
        <v>0.00038003</v>
      </c>
      <c r="L16" s="15" t="n">
        <v>0.00037623</v>
      </c>
      <c r="M16" s="15" t="n">
        <v>0.00037247</v>
      </c>
      <c r="N16" s="15" t="n">
        <v>0.00036874</v>
      </c>
      <c r="O16" s="15" t="n">
        <v>0.00036505</v>
      </c>
      <c r="P16" s="15" t="n">
        <v>0.0003614</v>
      </c>
      <c r="Q16" s="15" t="n">
        <v>0.00035779</v>
      </c>
      <c r="R16" s="15" t="n">
        <v>0.00035421</v>
      </c>
      <c r="S16" s="15" t="n">
        <v>0.00035067</v>
      </c>
      <c r="T16" s="15" t="n">
        <v>0.00034716</v>
      </c>
      <c r="U16" s="15" t="n">
        <v>0.00034369</v>
      </c>
      <c r="V16" s="15" t="n">
        <v>0.00034025</v>
      </c>
      <c r="W16" s="15" t="n">
        <v>0.00033685</v>
      </c>
      <c r="X16" s="15" t="n">
        <v>0.00033348</v>
      </c>
      <c r="Y16" s="15" t="n">
        <v>0.00033015</v>
      </c>
      <c r="Z16" s="15" t="n">
        <v>0.00032685</v>
      </c>
      <c r="AA16" s="15" t="n">
        <v>0.00032358</v>
      </c>
      <c r="AB16" s="15" t="n">
        <v>0.00032034</v>
      </c>
      <c r="AC16" s="15" t="n">
        <v>0.00031714</v>
      </c>
      <c r="AD16" s="15" t="n">
        <v>0.00031397</v>
      </c>
      <c r="AE16" s="15" t="n">
        <v>0.00031083</v>
      </c>
      <c r="AF16" s="15" t="n">
        <v>0.00030772</v>
      </c>
      <c r="AG16" s="15" t="n">
        <v>0.00030464</v>
      </c>
      <c r="AH16" s="15" t="n">
        <v>0.0003016</v>
      </c>
      <c r="AI16" s="15" t="n">
        <v>0.00029858</v>
      </c>
      <c r="AJ16" s="15" t="n">
        <v>0.00029559</v>
      </c>
      <c r="AK16" s="15" t="n">
        <v>0.00029264</v>
      </c>
      <c r="AL16" s="15" t="n">
        <v>0.00028971</v>
      </c>
      <c r="AM16" s="15" t="n">
        <v>0.00028681</v>
      </c>
      <c r="AN16" s="15" t="n">
        <v>0.00028395</v>
      </c>
      <c r="AO16" s="15" t="n">
        <v>0.00028111</v>
      </c>
      <c r="AP16" s="15" t="n">
        <v>0.0002783</v>
      </c>
      <c r="AQ16" s="15" t="n">
        <v>0.00027551</v>
      </c>
      <c r="AR16" s="15" t="n">
        <v>0.00027276</v>
      </c>
      <c r="AS16" s="15" t="n">
        <v>0.00027003</v>
      </c>
      <c r="AT16" s="15" t="n">
        <v>0.00026733</v>
      </c>
      <c r="AU16" s="15" t="n">
        <v>0.00026466</v>
      </c>
      <c r="AV16" s="15" t="n">
        <v>0.00026201</v>
      </c>
      <c r="AW16" s="15" t="n">
        <v>0.00025939</v>
      </c>
      <c r="AX16" s="15" t="n">
        <v>0.0002568</v>
      </c>
      <c r="AY16" s="15" t="n">
        <v>0.00025423</v>
      </c>
      <c r="AZ16" s="15" t="n">
        <v>0.00025169</v>
      </c>
      <c r="BA16" s="15" t="n">
        <v>0.00024917</v>
      </c>
      <c r="BB16" s="15" t="n">
        <v>0.00024668</v>
      </c>
      <c r="BC16" s="15" t="n">
        <v>0.00024421</v>
      </c>
      <c r="BD16" s="15" t="n">
        <v>0.00024177</v>
      </c>
      <c r="BE16" s="15" t="n">
        <v>0.00023935</v>
      </c>
      <c r="BF16" s="15" t="n">
        <v>0.00023696</v>
      </c>
      <c r="BG16" s="15" t="n">
        <v>0.00023459</v>
      </c>
      <c r="BH16" s="15" t="n">
        <v>0.00023224</v>
      </c>
      <c r="BI16" s="15" t="n">
        <v>0.00022992</v>
      </c>
      <c r="BJ16" s="15" t="n">
        <v>0.00022762</v>
      </c>
      <c r="BK16" s="15" t="n">
        <v>0.00022534</v>
      </c>
      <c r="BL16" s="15" t="n">
        <v>0.00022309</v>
      </c>
      <c r="BM16" s="15" t="n">
        <v>0.00022086</v>
      </c>
      <c r="BN16" s="15" t="n">
        <v>0.00021865</v>
      </c>
      <c r="BO16" s="15" t="n">
        <v>0.00021646</v>
      </c>
      <c r="BP16" s="15" t="n">
        <v>0.0002143</v>
      </c>
      <c r="BQ16" s="15" t="n">
        <v>0.00021216</v>
      </c>
      <c r="BR16" s="15" t="n">
        <v>0.00021004</v>
      </c>
      <c r="BS16" s="15" t="n">
        <v>0.00020793</v>
      </c>
      <c r="BT16" s="15" t="n">
        <v>0.00020586</v>
      </c>
      <c r="BU16" s="15" t="n">
        <v>0.0002038</v>
      </c>
      <c r="BV16" s="15" t="n">
        <v>0.00020176</v>
      </c>
      <c r="BW16" s="15" t="n">
        <v>0.00019974</v>
      </c>
      <c r="BX16" s="15" t="n">
        <v>0.00019774</v>
      </c>
    </row>
    <row r="17">
      <c r="A17" t="n">
        <v>34</v>
      </c>
      <c r="B17" s="15" t="n">
        <v>0.00043579</v>
      </c>
      <c r="C17" s="15" t="n">
        <v>0.00043141</v>
      </c>
      <c r="D17" s="15" t="n">
        <v>0.00042708</v>
      </c>
      <c r="E17" s="15" t="n">
        <v>0.0004228</v>
      </c>
      <c r="F17" s="15" t="n">
        <v>0.00041856</v>
      </c>
      <c r="G17" s="15" t="n">
        <v>0.00041437</v>
      </c>
      <c r="H17" s="15" t="n">
        <v>0.00041022</v>
      </c>
      <c r="I17" s="15" t="n">
        <v>0.00040612</v>
      </c>
      <c r="J17" s="15" t="n">
        <v>0.00040206</v>
      </c>
      <c r="K17" s="15" t="n">
        <v>0.00039803</v>
      </c>
      <c r="L17" s="15" t="n">
        <v>0.00039405</v>
      </c>
      <c r="M17" s="15" t="n">
        <v>0.00039011</v>
      </c>
      <c r="N17" s="15" t="n">
        <v>0.00038621</v>
      </c>
      <c r="O17" s="15" t="n">
        <v>0.00038235</v>
      </c>
      <c r="P17" s="15" t="n">
        <v>0.00037853</v>
      </c>
      <c r="Q17" s="15" t="n">
        <v>0.00037474</v>
      </c>
      <c r="R17" s="15" t="n">
        <v>0.00037099</v>
      </c>
      <c r="S17" s="15" t="n">
        <v>0.00036728</v>
      </c>
      <c r="T17" s="15" t="n">
        <v>0.00036361</v>
      </c>
      <c r="U17" s="15" t="n">
        <v>0.00035998</v>
      </c>
      <c r="V17" s="15" t="n">
        <v>0.00035638</v>
      </c>
      <c r="W17" s="15" t="n">
        <v>0.00035281</v>
      </c>
      <c r="X17" s="15" t="n">
        <v>0.00034928</v>
      </c>
      <c r="Y17" s="15" t="n">
        <v>0.00034579</v>
      </c>
      <c r="Z17" s="15" t="n">
        <v>0.00034233</v>
      </c>
      <c r="AA17" s="15" t="n">
        <v>0.00033891</v>
      </c>
      <c r="AB17" s="15" t="n">
        <v>0.00033552</v>
      </c>
      <c r="AC17" s="15" t="n">
        <v>0.00033217</v>
      </c>
      <c r="AD17" s="15" t="n">
        <v>0.00032884</v>
      </c>
      <c r="AE17" s="15" t="n">
        <v>0.00032555</v>
      </c>
      <c r="AF17" s="15" t="n">
        <v>0.0003223</v>
      </c>
      <c r="AG17" s="15" t="n">
        <v>0.00031908</v>
      </c>
      <c r="AH17" s="15" t="n">
        <v>0.00031589</v>
      </c>
      <c r="AI17" s="15" t="n">
        <v>0.00031273</v>
      </c>
      <c r="AJ17" s="15" t="n">
        <v>0.0003096</v>
      </c>
      <c r="AK17" s="15" t="n">
        <v>0.0003065</v>
      </c>
      <c r="AL17" s="15" t="n">
        <v>0.00030344</v>
      </c>
      <c r="AM17" s="15" t="n">
        <v>0.0003004</v>
      </c>
      <c r="AN17" s="15" t="n">
        <v>0.0002974</v>
      </c>
      <c r="AO17" s="15" t="n">
        <v>0.00029443</v>
      </c>
      <c r="AP17" s="15" t="n">
        <v>0.00029148</v>
      </c>
      <c r="AQ17" s="15" t="n">
        <v>0.00028857</v>
      </c>
      <c r="AR17" s="15" t="n">
        <v>0.00028568</v>
      </c>
      <c r="AS17" s="15" t="n">
        <v>0.00028282</v>
      </c>
      <c r="AT17" s="15" t="n">
        <v>0.00028</v>
      </c>
      <c r="AU17" s="15" t="n">
        <v>0.0002772</v>
      </c>
      <c r="AV17" s="15" t="n">
        <v>0.00027442</v>
      </c>
      <c r="AW17" s="15" t="n">
        <v>0.00027168</v>
      </c>
      <c r="AX17" s="15" t="n">
        <v>0.00026896</v>
      </c>
      <c r="AY17" s="15" t="n">
        <v>0.00026627</v>
      </c>
      <c r="AZ17" s="15" t="n">
        <v>0.00026361</v>
      </c>
      <c r="BA17" s="15" t="n">
        <v>0.00026097</v>
      </c>
      <c r="BB17" s="15" t="n">
        <v>0.00025837</v>
      </c>
      <c r="BC17" s="15" t="n">
        <v>0.00025578</v>
      </c>
      <c r="BD17" s="15" t="n">
        <v>0.00025322</v>
      </c>
      <c r="BE17" s="15" t="n">
        <v>0.00025069</v>
      </c>
      <c r="BF17" s="15" t="n">
        <v>0.00024818</v>
      </c>
      <c r="BG17" s="15" t="n">
        <v>0.0002457</v>
      </c>
      <c r="BH17" s="15" t="n">
        <v>0.00024325</v>
      </c>
      <c r="BI17" s="15" t="n">
        <v>0.00024081</v>
      </c>
      <c r="BJ17" s="15" t="n">
        <v>0.0002384</v>
      </c>
      <c r="BK17" s="15" t="n">
        <v>0.00023602</v>
      </c>
      <c r="BL17" s="15" t="n">
        <v>0.00023366</v>
      </c>
      <c r="BM17" s="15" t="n">
        <v>0.00023132</v>
      </c>
      <c r="BN17" s="15" t="n">
        <v>0.00022901</v>
      </c>
      <c r="BO17" s="15" t="n">
        <v>0.00022672</v>
      </c>
      <c r="BP17" s="15" t="n">
        <v>0.00022445</v>
      </c>
      <c r="BQ17" s="15" t="n">
        <v>0.00022221</v>
      </c>
      <c r="BR17" s="15" t="n">
        <v>0.00021999</v>
      </c>
      <c r="BS17" s="15" t="n">
        <v>0.00021779</v>
      </c>
      <c r="BT17" s="15" t="n">
        <v>0.00021561</v>
      </c>
      <c r="BU17" s="15" t="n">
        <v>0.00021345</v>
      </c>
      <c r="BV17" s="15" t="n">
        <v>0.00021132</v>
      </c>
      <c r="BW17" s="15" t="n">
        <v>0.00020921</v>
      </c>
      <c r="BX17" s="15" t="n">
        <v>0.00020711</v>
      </c>
    </row>
    <row r="18">
      <c r="A18" t="n">
        <v>35</v>
      </c>
      <c r="B18" s="15" t="n">
        <v>0.00045597</v>
      </c>
      <c r="C18" s="15" t="n">
        <v>0.00045139</v>
      </c>
      <c r="D18" s="15" t="n">
        <v>0.00044686</v>
      </c>
      <c r="E18" s="15" t="n">
        <v>0.00044238</v>
      </c>
      <c r="F18" s="15" t="n">
        <v>0.00043795</v>
      </c>
      <c r="G18" s="15" t="n">
        <v>0.00043357</v>
      </c>
      <c r="H18" s="15" t="n">
        <v>0.00042923</v>
      </c>
      <c r="I18" s="15" t="n">
        <v>0.00042493</v>
      </c>
      <c r="J18" s="15" t="n">
        <v>0.00042068</v>
      </c>
      <c r="K18" s="15" t="n">
        <v>0.00041648</v>
      </c>
      <c r="L18" s="15" t="n">
        <v>0.00041231</v>
      </c>
      <c r="M18" s="15" t="n">
        <v>0.00040819</v>
      </c>
      <c r="N18" s="15" t="n">
        <v>0.00040411</v>
      </c>
      <c r="O18" s="15" t="n">
        <v>0.00040007</v>
      </c>
      <c r="P18" s="15" t="n">
        <v>0.00039607</v>
      </c>
      <c r="Q18" s="15" t="n">
        <v>0.0003921</v>
      </c>
      <c r="R18" s="15" t="n">
        <v>0.00038818</v>
      </c>
      <c r="S18" s="15" t="n">
        <v>0.0003843</v>
      </c>
      <c r="T18" s="15" t="n">
        <v>0.00038046</v>
      </c>
      <c r="U18" s="15" t="n">
        <v>0.00037665</v>
      </c>
      <c r="V18" s="15" t="n">
        <v>0.00037289</v>
      </c>
      <c r="W18" s="15" t="n">
        <v>0.00036916</v>
      </c>
      <c r="X18" s="15" t="n">
        <v>0.00036547</v>
      </c>
      <c r="Y18" s="15" t="n">
        <v>0.00036181</v>
      </c>
      <c r="Z18" s="15" t="n">
        <v>0.00035819</v>
      </c>
      <c r="AA18" s="15" t="n">
        <v>0.00035461</v>
      </c>
      <c r="AB18" s="15" t="n">
        <v>0.00035107</v>
      </c>
      <c r="AC18" s="15" t="n">
        <v>0.00034756</v>
      </c>
      <c r="AD18" s="15" t="n">
        <v>0.00034408</v>
      </c>
      <c r="AE18" s="15" t="n">
        <v>0.00034064</v>
      </c>
      <c r="AF18" s="15" t="n">
        <v>0.00033723</v>
      </c>
      <c r="AG18" s="15" t="n">
        <v>0.00033386</v>
      </c>
      <c r="AH18" s="15" t="n">
        <v>0.00033052</v>
      </c>
      <c r="AI18" s="15" t="n">
        <v>0.00032722</v>
      </c>
      <c r="AJ18" s="15" t="n">
        <v>0.00032394</v>
      </c>
      <c r="AK18" s="15" t="n">
        <v>0.0003207</v>
      </c>
      <c r="AL18" s="15" t="n">
        <v>0.0003175</v>
      </c>
      <c r="AM18" s="15" t="n">
        <v>0.00031432</v>
      </c>
      <c r="AN18" s="15" t="n">
        <v>0.00031118</v>
      </c>
      <c r="AO18" s="15" t="n">
        <v>0.00030807</v>
      </c>
      <c r="AP18" s="15" t="n">
        <v>0.00030499</v>
      </c>
      <c r="AQ18" s="15" t="n">
        <v>0.00030194</v>
      </c>
      <c r="AR18" s="15" t="n">
        <v>0.00029892</v>
      </c>
      <c r="AS18" s="15" t="n">
        <v>0.00029593</v>
      </c>
      <c r="AT18" s="15" t="n">
        <v>0.00029297</v>
      </c>
      <c r="AU18" s="15" t="n">
        <v>0.00029004</v>
      </c>
      <c r="AV18" s="15" t="n">
        <v>0.00028714</v>
      </c>
      <c r="AW18" s="15" t="n">
        <v>0.00028427</v>
      </c>
      <c r="AX18" s="15" t="n">
        <v>0.00028143</v>
      </c>
      <c r="AY18" s="15" t="n">
        <v>0.00027861</v>
      </c>
      <c r="AZ18" s="15" t="n">
        <v>0.00027582</v>
      </c>
      <c r="BA18" s="15" t="n">
        <v>0.00027307</v>
      </c>
      <c r="BB18" s="15" t="n">
        <v>0.00027034</v>
      </c>
      <c r="BC18" s="15" t="n">
        <v>0.00026763</v>
      </c>
      <c r="BD18" s="15" t="n">
        <v>0.00026496</v>
      </c>
      <c r="BE18" s="15" t="n">
        <v>0.00026231</v>
      </c>
      <c r="BF18" s="15" t="n">
        <v>0.00025968</v>
      </c>
      <c r="BG18" s="15" t="n">
        <v>0.00025709</v>
      </c>
      <c r="BH18" s="15" t="n">
        <v>0.00025452</v>
      </c>
      <c r="BI18" s="15" t="n">
        <v>0.00025197</v>
      </c>
      <c r="BJ18" s="15" t="n">
        <v>0.00024945</v>
      </c>
      <c r="BK18" s="15" t="n">
        <v>0.00024696</v>
      </c>
      <c r="BL18" s="15" t="n">
        <v>0.00024449</v>
      </c>
      <c r="BM18" s="15" t="n">
        <v>0.00024204</v>
      </c>
      <c r="BN18" s="15" t="n">
        <v>0.00023962</v>
      </c>
      <c r="BO18" s="15" t="n">
        <v>0.00023723</v>
      </c>
      <c r="BP18" s="15" t="n">
        <v>0.00023485</v>
      </c>
      <c r="BQ18" s="15" t="n">
        <v>0.0002325</v>
      </c>
      <c r="BR18" s="15" t="n">
        <v>0.00023018</v>
      </c>
      <c r="BS18" s="15" t="n">
        <v>0.00022788</v>
      </c>
      <c r="BT18" s="15" t="n">
        <v>0.0002256</v>
      </c>
      <c r="BU18" s="15" t="n">
        <v>0.00022334</v>
      </c>
      <c r="BV18" s="15" t="n">
        <v>0.00022111</v>
      </c>
      <c r="BW18" s="15" t="n">
        <v>0.0002189</v>
      </c>
      <c r="BX18" s="15" t="n">
        <v>0.00021671</v>
      </c>
    </row>
    <row r="19">
      <c r="A19" t="n">
        <v>36</v>
      </c>
      <c r="B19" s="15" t="n">
        <v>0.00048082</v>
      </c>
      <c r="C19" s="15" t="n">
        <v>0.00047599</v>
      </c>
      <c r="D19" s="15" t="n">
        <v>0.0004712</v>
      </c>
      <c r="E19" s="15" t="n">
        <v>0.00046648</v>
      </c>
      <c r="F19" s="15" t="n">
        <v>0.0004618</v>
      </c>
      <c r="G19" s="15" t="n">
        <v>0.00045717</v>
      </c>
      <c r="H19" s="15" t="n">
        <v>0.0004526</v>
      </c>
      <c r="I19" s="15" t="n">
        <v>0.00044807</v>
      </c>
      <c r="J19" s="15" t="n">
        <v>0.00044359</v>
      </c>
      <c r="K19" s="15" t="n">
        <v>0.00043915</v>
      </c>
      <c r="L19" s="15" t="n">
        <v>0.00043476</v>
      </c>
      <c r="M19" s="15" t="n">
        <v>0.00043041</v>
      </c>
      <c r="N19" s="15" t="n">
        <v>0.00042611</v>
      </c>
      <c r="O19" s="15" t="n">
        <v>0.00042185</v>
      </c>
      <c r="P19" s="15" t="n">
        <v>0.00041763</v>
      </c>
      <c r="Q19" s="15" t="n">
        <v>0.00041345</v>
      </c>
      <c r="R19" s="15" t="n">
        <v>0.00040932</v>
      </c>
      <c r="S19" s="15" t="n">
        <v>0.00040522</v>
      </c>
      <c r="T19" s="15" t="n">
        <v>0.00040117</v>
      </c>
      <c r="U19" s="15" t="n">
        <v>0.00039716</v>
      </c>
      <c r="V19" s="15" t="n">
        <v>0.00039319</v>
      </c>
      <c r="W19" s="15" t="n">
        <v>0.00038926</v>
      </c>
      <c r="X19" s="15" t="n">
        <v>0.00038536</v>
      </c>
      <c r="Y19" s="15" t="n">
        <v>0.00038151</v>
      </c>
      <c r="Z19" s="15" t="n">
        <v>0.00037769</v>
      </c>
      <c r="AA19" s="15" t="n">
        <v>0.00037392</v>
      </c>
      <c r="AB19" s="15" t="n">
        <v>0.00037018</v>
      </c>
      <c r="AC19" s="15" t="n">
        <v>0.00036648</v>
      </c>
      <c r="AD19" s="15" t="n">
        <v>0.00036281</v>
      </c>
      <c r="AE19" s="15" t="n">
        <v>0.00035918</v>
      </c>
      <c r="AF19" s="15" t="n">
        <v>0.00035559</v>
      </c>
      <c r="AG19" s="15" t="n">
        <v>0.00035204</v>
      </c>
      <c r="AH19" s="15" t="n">
        <v>0.00034852</v>
      </c>
      <c r="AI19" s="15" t="n">
        <v>0.00034503</v>
      </c>
      <c r="AJ19" s="15" t="n">
        <v>0.00034158</v>
      </c>
      <c r="AK19" s="15" t="n">
        <v>0.00033816</v>
      </c>
      <c r="AL19" s="15" t="n">
        <v>0.00033478</v>
      </c>
      <c r="AM19" s="15" t="n">
        <v>0.00033144</v>
      </c>
      <c r="AN19" s="15" t="n">
        <v>0.00032812</v>
      </c>
      <c r="AO19" s="15" t="n">
        <v>0.00032484</v>
      </c>
      <c r="AP19" s="15" t="n">
        <v>0.00032159</v>
      </c>
      <c r="AQ19" s="15" t="n">
        <v>0.00031838</v>
      </c>
      <c r="AR19" s="15" t="n">
        <v>0.00031519</v>
      </c>
      <c r="AS19" s="15" t="n">
        <v>0.00031204</v>
      </c>
      <c r="AT19" s="15" t="n">
        <v>0.00030892</v>
      </c>
      <c r="AU19" s="15" t="n">
        <v>0.00030583</v>
      </c>
      <c r="AV19" s="15" t="n">
        <v>0.00030277</v>
      </c>
      <c r="AW19" s="15" t="n">
        <v>0.00029974</v>
      </c>
      <c r="AX19" s="15" t="n">
        <v>0.00029675</v>
      </c>
      <c r="AY19" s="15" t="n">
        <v>0.00029378</v>
      </c>
      <c r="AZ19" s="15" t="n">
        <v>0.00029084</v>
      </c>
      <c r="BA19" s="15" t="n">
        <v>0.00028793</v>
      </c>
      <c r="BB19" s="15" t="n">
        <v>0.00028505</v>
      </c>
      <c r="BC19" s="15" t="n">
        <v>0.0002822</v>
      </c>
      <c r="BD19" s="15" t="n">
        <v>0.00027938</v>
      </c>
      <c r="BE19" s="15" t="n">
        <v>0.00027659</v>
      </c>
      <c r="BF19" s="15" t="n">
        <v>0.00027382</v>
      </c>
      <c r="BG19" s="15" t="n">
        <v>0.00027108</v>
      </c>
      <c r="BH19" s="15" t="n">
        <v>0.00026837</v>
      </c>
      <c r="BI19" s="15" t="n">
        <v>0.00026569</v>
      </c>
      <c r="BJ19" s="15" t="n">
        <v>0.00026303</v>
      </c>
      <c r="BK19" s="15" t="n">
        <v>0.0002604</v>
      </c>
      <c r="BL19" s="15" t="n">
        <v>0.0002578</v>
      </c>
      <c r="BM19" s="15" t="n">
        <v>0.00025522</v>
      </c>
      <c r="BN19" s="15" t="n">
        <v>0.00025267</v>
      </c>
      <c r="BO19" s="15" t="n">
        <v>0.00025014</v>
      </c>
      <c r="BP19" s="15" t="n">
        <v>0.00024764</v>
      </c>
      <c r="BQ19" s="15" t="n">
        <v>0.00024516</v>
      </c>
      <c r="BR19" s="15" t="n">
        <v>0.00024271</v>
      </c>
      <c r="BS19" s="15" t="n">
        <v>0.00024028</v>
      </c>
      <c r="BT19" s="15" t="n">
        <v>0.00023788</v>
      </c>
      <c r="BU19" s="15" t="n">
        <v>0.0002355</v>
      </c>
      <c r="BV19" s="15" t="n">
        <v>0.00023315</v>
      </c>
      <c r="BW19" s="15" t="n">
        <v>0.00023082</v>
      </c>
      <c r="BX19" s="15" t="n">
        <v>0.00022851</v>
      </c>
    </row>
    <row r="20">
      <c r="A20" t="n">
        <v>37</v>
      </c>
      <c r="B20" s="15" t="n">
        <v>0.00051481</v>
      </c>
      <c r="C20" s="15" t="n">
        <v>0.00050961</v>
      </c>
      <c r="D20" s="15" t="n">
        <v>0.00050447</v>
      </c>
      <c r="E20" s="15" t="n">
        <v>0.0004994</v>
      </c>
      <c r="F20" s="15" t="n">
        <v>0.00049438</v>
      </c>
      <c r="G20" s="15" t="n">
        <v>0.00048942</v>
      </c>
      <c r="H20" s="15" t="n">
        <v>0.00048452</v>
      </c>
      <c r="I20" s="15" t="n">
        <v>0.00047967</v>
      </c>
      <c r="J20" s="15" t="n">
        <v>0.00047487</v>
      </c>
      <c r="K20" s="15" t="n">
        <v>0.00047012</v>
      </c>
      <c r="L20" s="15" t="n">
        <v>0.00046542</v>
      </c>
      <c r="M20" s="15" t="n">
        <v>0.00046076</v>
      </c>
      <c r="N20" s="15" t="n">
        <v>0.00045615</v>
      </c>
      <c r="O20" s="15" t="n">
        <v>0.00045159</v>
      </c>
      <c r="P20" s="15" t="n">
        <v>0.00044708</v>
      </c>
      <c r="Q20" s="15" t="n">
        <v>0.00044261</v>
      </c>
      <c r="R20" s="15" t="n">
        <v>0.00043818</v>
      </c>
      <c r="S20" s="15" t="n">
        <v>0.0004338</v>
      </c>
      <c r="T20" s="15" t="n">
        <v>0.00042946</v>
      </c>
      <c r="U20" s="15" t="n">
        <v>0.00042517</v>
      </c>
      <c r="V20" s="15" t="n">
        <v>0.00042091</v>
      </c>
      <c r="W20" s="15" t="n">
        <v>0.0004167</v>
      </c>
      <c r="X20" s="15" t="n">
        <v>0.00041254</v>
      </c>
      <c r="Y20" s="15" t="n">
        <v>0.00040841</v>
      </c>
      <c r="Z20" s="15" t="n">
        <v>0.00040433</v>
      </c>
      <c r="AA20" s="15" t="n">
        <v>0.00040029</v>
      </c>
      <c r="AB20" s="15" t="n">
        <v>0.00039628</v>
      </c>
      <c r="AC20" s="15" t="n">
        <v>0.00039232</v>
      </c>
      <c r="AD20" s="15" t="n">
        <v>0.0003884</v>
      </c>
      <c r="AE20" s="15" t="n">
        <v>0.00038451</v>
      </c>
      <c r="AF20" s="15" t="n">
        <v>0.00038067</v>
      </c>
      <c r="AG20" s="15" t="n">
        <v>0.00037686</v>
      </c>
      <c r="AH20" s="15" t="n">
        <v>0.00037309</v>
      </c>
      <c r="AI20" s="15" t="n">
        <v>0.00036936</v>
      </c>
      <c r="AJ20" s="15" t="n">
        <v>0.00036567</v>
      </c>
      <c r="AK20" s="15" t="n">
        <v>0.00036201</v>
      </c>
      <c r="AL20" s="15" t="n">
        <v>0.00035839</v>
      </c>
      <c r="AM20" s="15" t="n">
        <v>0.00035481</v>
      </c>
      <c r="AN20" s="15" t="n">
        <v>0.00035126</v>
      </c>
      <c r="AO20" s="15" t="n">
        <v>0.00034775</v>
      </c>
      <c r="AP20" s="15" t="n">
        <v>0.00034427</v>
      </c>
      <c r="AQ20" s="15" t="n">
        <v>0.00034083</v>
      </c>
      <c r="AR20" s="15" t="n">
        <v>0.00033742</v>
      </c>
      <c r="AS20" s="15" t="n">
        <v>0.00033404</v>
      </c>
      <c r="AT20" s="15" t="n">
        <v>0.0003307</v>
      </c>
      <c r="AU20" s="15" t="n">
        <v>0.0003274</v>
      </c>
      <c r="AV20" s="15" t="n">
        <v>0.00032412</v>
      </c>
      <c r="AW20" s="15" t="n">
        <v>0.00032088</v>
      </c>
      <c r="AX20" s="15" t="n">
        <v>0.00031767</v>
      </c>
      <c r="AY20" s="15" t="n">
        <v>0.0003145</v>
      </c>
      <c r="AZ20" s="15" t="n">
        <v>0.00031135</v>
      </c>
      <c r="BA20" s="15" t="n">
        <v>0.00030824</v>
      </c>
      <c r="BB20" s="15" t="n">
        <v>0.00030515</v>
      </c>
      <c r="BC20" s="15" t="n">
        <v>0.0003021</v>
      </c>
      <c r="BD20" s="15" t="n">
        <v>0.00029908</v>
      </c>
      <c r="BE20" s="15" t="n">
        <v>0.00029609</v>
      </c>
      <c r="BF20" s="15" t="n">
        <v>0.00029313</v>
      </c>
      <c r="BG20" s="15" t="n">
        <v>0.0002902</v>
      </c>
      <c r="BH20" s="15" t="n">
        <v>0.0002873</v>
      </c>
      <c r="BI20" s="15" t="n">
        <v>0.00028442</v>
      </c>
      <c r="BJ20" s="15" t="n">
        <v>0.00028158</v>
      </c>
      <c r="BK20" s="15" t="n">
        <v>0.00027876</v>
      </c>
      <c r="BL20" s="15" t="n">
        <v>0.00027598</v>
      </c>
      <c r="BM20" s="15" t="n">
        <v>0.00027322</v>
      </c>
      <c r="BN20" s="15" t="n">
        <v>0.00027048</v>
      </c>
      <c r="BO20" s="15" t="n">
        <v>0.00026778</v>
      </c>
      <c r="BP20" s="15" t="n">
        <v>0.0002651</v>
      </c>
      <c r="BQ20" s="15" t="n">
        <v>0.00026245</v>
      </c>
      <c r="BR20" s="15" t="n">
        <v>0.00025983</v>
      </c>
      <c r="BS20" s="15" t="n">
        <v>0.00025723</v>
      </c>
      <c r="BT20" s="15" t="n">
        <v>0.00025466</v>
      </c>
      <c r="BU20" s="15" t="n">
        <v>0.00025211</v>
      </c>
      <c r="BV20" s="15" t="n">
        <v>0.00024959</v>
      </c>
      <c r="BW20" s="15" t="n">
        <v>0.00024709</v>
      </c>
      <c r="BX20" s="15" t="n">
        <v>0.00024462</v>
      </c>
    </row>
    <row r="21">
      <c r="A21" t="n">
        <v>38</v>
      </c>
      <c r="B21" s="15" t="n">
        <v>0.00054316</v>
      </c>
      <c r="C21" s="15" t="n">
        <v>0.00053763</v>
      </c>
      <c r="D21" s="15" t="n">
        <v>0.00053218</v>
      </c>
      <c r="E21" s="15" t="n">
        <v>0.0005268</v>
      </c>
      <c r="F21" s="15" t="n">
        <v>0.00052149</v>
      </c>
      <c r="G21" s="15" t="n">
        <v>0.0005162399999999999</v>
      </c>
      <c r="H21" s="15" t="n">
        <v>0.00051106</v>
      </c>
      <c r="I21" s="15" t="n">
        <v>0.00050593</v>
      </c>
      <c r="J21" s="15" t="n">
        <v>0.00050087</v>
      </c>
      <c r="K21" s="15" t="n">
        <v>0.00049586</v>
      </c>
      <c r="L21" s="15" t="n">
        <v>0.0004909</v>
      </c>
      <c r="M21" s="15" t="n">
        <v>0.00048599</v>
      </c>
      <c r="N21" s="15" t="n">
        <v>0.00048113</v>
      </c>
      <c r="O21" s="15" t="n">
        <v>0.00047632</v>
      </c>
      <c r="P21" s="15" t="n">
        <v>0.00047156</v>
      </c>
      <c r="Q21" s="15" t="n">
        <v>0.00046684</v>
      </c>
      <c r="R21" s="15" t="n">
        <v>0.00046217</v>
      </c>
      <c r="S21" s="15" t="n">
        <v>0.00045755</v>
      </c>
      <c r="T21" s="15" t="n">
        <v>0.00045298</v>
      </c>
      <c r="U21" s="15" t="n">
        <v>0.00044845</v>
      </c>
      <c r="V21" s="15" t="n">
        <v>0.00044396</v>
      </c>
      <c r="W21" s="15" t="n">
        <v>0.00043952</v>
      </c>
      <c r="X21" s="15" t="n">
        <v>0.00043513</v>
      </c>
      <c r="Y21" s="15" t="n">
        <v>0.00043078</v>
      </c>
      <c r="Z21" s="15" t="n">
        <v>0.00042647</v>
      </c>
      <c r="AA21" s="15" t="n">
        <v>0.0004222</v>
      </c>
      <c r="AB21" s="15" t="n">
        <v>0.00041798</v>
      </c>
      <c r="AC21" s="15" t="n">
        <v>0.0004138</v>
      </c>
      <c r="AD21" s="15" t="n">
        <v>0.00040966</v>
      </c>
      <c r="AE21" s="15" t="n">
        <v>0.00040557</v>
      </c>
      <c r="AF21" s="15" t="n">
        <v>0.00040151</v>
      </c>
      <c r="AG21" s="15" t="n">
        <v>0.0003975</v>
      </c>
      <c r="AH21" s="15" t="n">
        <v>0.00039352</v>
      </c>
      <c r="AI21" s="15" t="n">
        <v>0.00038959</v>
      </c>
      <c r="AJ21" s="15" t="n">
        <v>0.00038569</v>
      </c>
      <c r="AK21" s="15" t="n">
        <v>0.00038183</v>
      </c>
      <c r="AL21" s="15" t="n">
        <v>0.00037801</v>
      </c>
      <c r="AM21" s="15" t="n">
        <v>0.00037423</v>
      </c>
      <c r="AN21" s="15" t="n">
        <v>0.00037049</v>
      </c>
      <c r="AO21" s="15" t="n">
        <v>0.00036679</v>
      </c>
      <c r="AP21" s="15" t="n">
        <v>0.00036312</v>
      </c>
      <c r="AQ21" s="15" t="n">
        <v>0.00035949</v>
      </c>
      <c r="AR21" s="15" t="n">
        <v>0.00035589</v>
      </c>
      <c r="AS21" s="15" t="n">
        <v>0.00035233</v>
      </c>
      <c r="AT21" s="15" t="n">
        <v>0.00034881</v>
      </c>
      <c r="AU21" s="15" t="n">
        <v>0.00034532</v>
      </c>
      <c r="AV21" s="15" t="n">
        <v>0.00034187</v>
      </c>
      <c r="AW21" s="15" t="n">
        <v>0.00033845</v>
      </c>
      <c r="AX21" s="15" t="n">
        <v>0.00033507</v>
      </c>
      <c r="AY21" s="15" t="n">
        <v>0.00033172</v>
      </c>
      <c r="AZ21" s="15" t="n">
        <v>0.0003284</v>
      </c>
      <c r="BA21" s="15" t="n">
        <v>0.00032511</v>
      </c>
      <c r="BB21" s="15" t="n">
        <v>0.00032186</v>
      </c>
      <c r="BC21" s="15" t="n">
        <v>0.00031864</v>
      </c>
      <c r="BD21" s="15" t="n">
        <v>0.00031546</v>
      </c>
      <c r="BE21" s="15" t="n">
        <v>0.0003123</v>
      </c>
      <c r="BF21" s="15" t="n">
        <v>0.00030918</v>
      </c>
      <c r="BG21" s="15" t="n">
        <v>0.00030609</v>
      </c>
      <c r="BH21" s="15" t="n">
        <v>0.00030303</v>
      </c>
      <c r="BI21" s="15" t="n">
        <v>0.0003</v>
      </c>
      <c r="BJ21" s="15" t="n">
        <v>0.000297</v>
      </c>
      <c r="BK21" s="15" t="n">
        <v>0.00029403</v>
      </c>
      <c r="BL21" s="15" t="n">
        <v>0.00029109</v>
      </c>
      <c r="BM21" s="15" t="n">
        <v>0.00028818</v>
      </c>
      <c r="BN21" s="15" t="n">
        <v>0.00028529</v>
      </c>
      <c r="BO21" s="15" t="n">
        <v>0.00028244</v>
      </c>
      <c r="BP21" s="15" t="n">
        <v>0.00027962</v>
      </c>
      <c r="BQ21" s="15" t="n">
        <v>0.00027682</v>
      </c>
      <c r="BR21" s="15" t="n">
        <v>0.00027405</v>
      </c>
      <c r="BS21" s="15" t="n">
        <v>0.00027131</v>
      </c>
      <c r="BT21" s="15" t="n">
        <v>0.0002686</v>
      </c>
      <c r="BU21" s="15" t="n">
        <v>0.00026591</v>
      </c>
      <c r="BV21" s="15" t="n">
        <v>0.00026325</v>
      </c>
      <c r="BW21" s="15" t="n">
        <v>0.00026062</v>
      </c>
      <c r="BX21" s="15" t="n">
        <v>0.00025802</v>
      </c>
    </row>
    <row r="22">
      <c r="A22" t="n">
        <v>39</v>
      </c>
      <c r="B22" s="15" t="n">
        <v>0.00056646</v>
      </c>
      <c r="C22" s="15" t="n">
        <v>0.00056062</v>
      </c>
      <c r="D22" s="15" t="n">
        <v>0.00055488</v>
      </c>
      <c r="E22" s="15" t="n">
        <v>0.0005492300000000001</v>
      </c>
      <c r="F22" s="15" t="n">
        <v>0.00054366</v>
      </c>
      <c r="G22" s="15" t="n">
        <v>0.00053816</v>
      </c>
      <c r="H22" s="15" t="n">
        <v>0.00053274</v>
      </c>
      <c r="I22" s="15" t="n">
        <v>0.0005274</v>
      </c>
      <c r="J22" s="15" t="n">
        <v>0.00052211</v>
      </c>
      <c r="K22" s="15" t="n">
        <v>0.00051689</v>
      </c>
      <c r="L22" s="15" t="n">
        <v>0.00051172</v>
      </c>
      <c r="M22" s="15" t="n">
        <v>0.0005066</v>
      </c>
      <c r="N22" s="15" t="n">
        <v>0.00050154</v>
      </c>
      <c r="O22" s="15" t="n">
        <v>0.00049652</v>
      </c>
      <c r="P22" s="15" t="n">
        <v>0.00049156</v>
      </c>
      <c r="Q22" s="15" t="n">
        <v>0.00048664</v>
      </c>
      <c r="R22" s="15" t="n">
        <v>0.00048177</v>
      </c>
      <c r="S22" s="15" t="n">
        <v>0.00047696</v>
      </c>
      <c r="T22" s="15" t="n">
        <v>0.00047219</v>
      </c>
      <c r="U22" s="15" t="n">
        <v>0.00046747</v>
      </c>
      <c r="V22" s="15" t="n">
        <v>0.00046279</v>
      </c>
      <c r="W22" s="15" t="n">
        <v>0.00045816</v>
      </c>
      <c r="X22" s="15" t="n">
        <v>0.00045358</v>
      </c>
      <c r="Y22" s="15" t="n">
        <v>0.00044905</v>
      </c>
      <c r="Z22" s="15" t="n">
        <v>0.00044455</v>
      </c>
      <c r="AA22" s="15" t="n">
        <v>0.00044011</v>
      </c>
      <c r="AB22" s="15" t="n">
        <v>0.00043571</v>
      </c>
      <c r="AC22" s="15" t="n">
        <v>0.00043135</v>
      </c>
      <c r="AD22" s="15" t="n">
        <v>0.00042704</v>
      </c>
      <c r="AE22" s="15" t="n">
        <v>0.00042277</v>
      </c>
      <c r="AF22" s="15" t="n">
        <v>0.00041854</v>
      </c>
      <c r="AG22" s="15" t="n">
        <v>0.00041435</v>
      </c>
      <c r="AH22" s="15" t="n">
        <v>0.00041021</v>
      </c>
      <c r="AI22" s="15" t="n">
        <v>0.00040611</v>
      </c>
      <c r="AJ22" s="15" t="n">
        <v>0.00040205</v>
      </c>
      <c r="AK22" s="15" t="n">
        <v>0.00039803</v>
      </c>
      <c r="AL22" s="15" t="n">
        <v>0.00039405</v>
      </c>
      <c r="AM22" s="15" t="n">
        <v>0.00039011</v>
      </c>
      <c r="AN22" s="15" t="n">
        <v>0.0003862</v>
      </c>
      <c r="AO22" s="15" t="n">
        <v>0.00038234</v>
      </c>
      <c r="AP22" s="15" t="n">
        <v>0.00037852</v>
      </c>
      <c r="AQ22" s="15" t="n">
        <v>0.00037473</v>
      </c>
      <c r="AR22" s="15" t="n">
        <v>0.00037099</v>
      </c>
      <c r="AS22" s="15" t="n">
        <v>0.00036728</v>
      </c>
      <c r="AT22" s="15" t="n">
        <v>0.0003636</v>
      </c>
      <c r="AU22" s="15" t="n">
        <v>0.00035997</v>
      </c>
      <c r="AV22" s="15" t="n">
        <v>0.00035637</v>
      </c>
      <c r="AW22" s="15" t="n">
        <v>0.0003528</v>
      </c>
      <c r="AX22" s="15" t="n">
        <v>0.00034928</v>
      </c>
      <c r="AY22" s="15" t="n">
        <v>0.00034578</v>
      </c>
      <c r="AZ22" s="15" t="n">
        <v>0.00034233</v>
      </c>
      <c r="BA22" s="15" t="n">
        <v>0.0003389</v>
      </c>
      <c r="BB22" s="15" t="n">
        <v>0.00033551</v>
      </c>
      <c r="BC22" s="15" t="n">
        <v>0.00033216</v>
      </c>
      <c r="BD22" s="15" t="n">
        <v>0.00032884</v>
      </c>
      <c r="BE22" s="15" t="n">
        <v>0.00032555</v>
      </c>
      <c r="BF22" s="15" t="n">
        <v>0.00032229</v>
      </c>
      <c r="BG22" s="15" t="n">
        <v>0.00031907</v>
      </c>
      <c r="BH22" s="15" t="n">
        <v>0.00031588</v>
      </c>
      <c r="BI22" s="15" t="n">
        <v>0.00031272</v>
      </c>
      <c r="BJ22" s="15" t="n">
        <v>0.00030959</v>
      </c>
      <c r="BK22" s="15" t="n">
        <v>0.0003065</v>
      </c>
      <c r="BL22" s="15" t="n">
        <v>0.00030343</v>
      </c>
      <c r="BM22" s="15" t="n">
        <v>0.0003004</v>
      </c>
      <c r="BN22" s="15" t="n">
        <v>0.00029739</v>
      </c>
      <c r="BO22" s="15" t="n">
        <v>0.00029442</v>
      </c>
      <c r="BP22" s="15" t="n">
        <v>0.00029148</v>
      </c>
      <c r="BQ22" s="15" t="n">
        <v>0.00028856</v>
      </c>
      <c r="BR22" s="15" t="n">
        <v>0.00028568</v>
      </c>
      <c r="BS22" s="15" t="n">
        <v>0.00028282</v>
      </c>
      <c r="BT22" s="15" t="n">
        <v>0.00027999</v>
      </c>
      <c r="BU22" s="15" t="n">
        <v>0.00027719</v>
      </c>
      <c r="BV22" s="15" t="n">
        <v>0.00027442</v>
      </c>
      <c r="BW22" s="15" t="n">
        <v>0.00027167</v>
      </c>
      <c r="BX22" s="15" t="n">
        <v>0.00026896</v>
      </c>
    </row>
    <row r="23">
      <c r="A23" t="n">
        <v>40</v>
      </c>
      <c r="B23" s="15" t="n">
        <v>0.00058689</v>
      </c>
      <c r="C23" s="15" t="n">
        <v>0.00058075</v>
      </c>
      <c r="D23" s="15" t="n">
        <v>0.00057473</v>
      </c>
      <c r="E23" s="15" t="n">
        <v>0.00056881</v>
      </c>
      <c r="F23" s="15" t="n">
        <v>0.00056299</v>
      </c>
      <c r="G23" s="15" t="n">
        <v>0.00055727</v>
      </c>
      <c r="H23" s="15" t="n">
        <v>0.0005516400000000001</v>
      </c>
      <c r="I23" s="15" t="n">
        <v>0.0005460900000000001</v>
      </c>
      <c r="J23" s="15" t="n">
        <v>0.00054061</v>
      </c>
      <c r="K23" s="15" t="n">
        <v>0.0005352</v>
      </c>
      <c r="L23" s="15" t="n">
        <v>0.00052985</v>
      </c>
      <c r="M23" s="15" t="n">
        <v>0.00052455</v>
      </c>
      <c r="N23" s="15" t="n">
        <v>0.00051931</v>
      </c>
      <c r="O23" s="15" t="n">
        <v>0.00051411</v>
      </c>
      <c r="P23" s="15" t="n">
        <v>0.00050897</v>
      </c>
      <c r="Q23" s="15" t="n">
        <v>0.00050388</v>
      </c>
      <c r="R23" s="15" t="n">
        <v>0.00049884</v>
      </c>
      <c r="S23" s="15" t="n">
        <v>0.00049385</v>
      </c>
      <c r="T23" s="15" t="n">
        <v>0.00048892</v>
      </c>
      <c r="U23" s="15" t="n">
        <v>0.00048403</v>
      </c>
      <c r="V23" s="15" t="n">
        <v>0.00047919</v>
      </c>
      <c r="W23" s="15" t="n">
        <v>0.00047439</v>
      </c>
      <c r="X23" s="15" t="n">
        <v>0.00046965</v>
      </c>
      <c r="Y23" s="15" t="n">
        <v>0.00046495</v>
      </c>
      <c r="Z23" s="15" t="n">
        <v>0.0004603</v>
      </c>
      <c r="AA23" s="15" t="n">
        <v>0.0004557</v>
      </c>
      <c r="AB23" s="15" t="n">
        <v>0.00045114</v>
      </c>
      <c r="AC23" s="15" t="n">
        <v>0.00044663</v>
      </c>
      <c r="AD23" s="15" t="n">
        <v>0.00044217</v>
      </c>
      <c r="AE23" s="15" t="n">
        <v>0.00043774</v>
      </c>
      <c r="AF23" s="15" t="n">
        <v>0.00043337</v>
      </c>
      <c r="AG23" s="15" t="n">
        <v>0.00042903</v>
      </c>
      <c r="AH23" s="15" t="n">
        <v>0.00042474</v>
      </c>
      <c r="AI23" s="15" t="n">
        <v>0.0004205</v>
      </c>
      <c r="AJ23" s="15" t="n">
        <v>0.00041629</v>
      </c>
      <c r="AK23" s="15" t="n">
        <v>0.00041213</v>
      </c>
      <c r="AL23" s="15" t="n">
        <v>0.00040801</v>
      </c>
      <c r="AM23" s="15" t="n">
        <v>0.00040393</v>
      </c>
      <c r="AN23" s="15" t="n">
        <v>0.00039989</v>
      </c>
      <c r="AO23" s="15" t="n">
        <v>0.00039589</v>
      </c>
      <c r="AP23" s="15" t="n">
        <v>0.00039193</v>
      </c>
      <c r="AQ23" s="15" t="n">
        <v>0.00038801</v>
      </c>
      <c r="AR23" s="15" t="n">
        <v>0.00038413</v>
      </c>
      <c r="AS23" s="15" t="n">
        <v>0.00038029</v>
      </c>
      <c r="AT23" s="15" t="n">
        <v>0.00037649</v>
      </c>
      <c r="AU23" s="15" t="n">
        <v>0.00037272</v>
      </c>
      <c r="AV23" s="15" t="n">
        <v>0.00036899</v>
      </c>
      <c r="AW23" s="15" t="n">
        <v>0.0003653</v>
      </c>
      <c r="AX23" s="15" t="n">
        <v>0.00036165</v>
      </c>
      <c r="AY23" s="15" t="n">
        <v>0.00035803</v>
      </c>
      <c r="AZ23" s="15" t="n">
        <v>0.00035445</v>
      </c>
      <c r="BA23" s="15" t="n">
        <v>0.00035091</v>
      </c>
      <c r="BB23" s="15" t="n">
        <v>0.0003474</v>
      </c>
      <c r="BC23" s="15" t="n">
        <v>0.00034393</v>
      </c>
      <c r="BD23" s="15" t="n">
        <v>0.00034049</v>
      </c>
      <c r="BE23" s="15" t="n">
        <v>0.00033708</v>
      </c>
      <c r="BF23" s="15" t="n">
        <v>0.00033371</v>
      </c>
      <c r="BG23" s="15" t="n">
        <v>0.00033037</v>
      </c>
      <c r="BH23" s="15" t="n">
        <v>0.00032707</v>
      </c>
      <c r="BI23" s="15" t="n">
        <v>0.0003238</v>
      </c>
      <c r="BJ23" s="15" t="n">
        <v>0.00032056</v>
      </c>
      <c r="BK23" s="15" t="n">
        <v>0.00031736</v>
      </c>
      <c r="BL23" s="15" t="n">
        <v>0.00031418</v>
      </c>
      <c r="BM23" s="15" t="n">
        <v>0.00031104</v>
      </c>
      <c r="BN23" s="15" t="n">
        <v>0.00030793</v>
      </c>
      <c r="BO23" s="15" t="n">
        <v>0.00030485</v>
      </c>
      <c r="BP23" s="15" t="n">
        <v>0.0003018</v>
      </c>
      <c r="BQ23" s="15" t="n">
        <v>0.00029878</v>
      </c>
      <c r="BR23" s="15" t="n">
        <v>0.0002958</v>
      </c>
      <c r="BS23" s="15" t="n">
        <v>0.00029284</v>
      </c>
      <c r="BT23" s="15" t="n">
        <v>0.00028991</v>
      </c>
      <c r="BU23" s="15" t="n">
        <v>0.00028701</v>
      </c>
      <c r="BV23" s="15" t="n">
        <v>0.00028414</v>
      </c>
      <c r="BW23" s="15" t="n">
        <v>0.0002813</v>
      </c>
      <c r="BX23" s="15" t="n">
        <v>0.00027849</v>
      </c>
    </row>
    <row r="24">
      <c r="A24" t="n">
        <v>41</v>
      </c>
      <c r="B24" s="15" t="n">
        <v>0.00061377</v>
      </c>
      <c r="C24" s="15" t="n">
        <v>0.0006072300000000001</v>
      </c>
      <c r="D24" s="15" t="n">
        <v>0.00060083</v>
      </c>
      <c r="E24" s="15" t="n">
        <v>0.00059457</v>
      </c>
      <c r="F24" s="15" t="n">
        <v>0.00058843</v>
      </c>
      <c r="G24" s="15" t="n">
        <v>0.0005824</v>
      </c>
      <c r="H24" s="15" t="n">
        <v>0.00057649</v>
      </c>
      <c r="I24" s="15" t="n">
        <v>0.00057067</v>
      </c>
      <c r="J24" s="15" t="n">
        <v>0.00056494</v>
      </c>
      <c r="K24" s="15" t="n">
        <v>0.00055928</v>
      </c>
      <c r="L24" s="15" t="n">
        <v>0.00055369</v>
      </c>
      <c r="M24" s="15" t="n">
        <v>0.00054815</v>
      </c>
      <c r="N24" s="15" t="n">
        <v>0.00054267</v>
      </c>
      <c r="O24" s="15" t="n">
        <v>0.00053724</v>
      </c>
      <c r="P24" s="15" t="n">
        <v>0.00053187</v>
      </c>
      <c r="Q24" s="15" t="n">
        <v>0.00052655</v>
      </c>
      <c r="R24" s="15" t="n">
        <v>0.00052129</v>
      </c>
      <c r="S24" s="15" t="n">
        <v>0.00051608</v>
      </c>
      <c r="T24" s="15" t="n">
        <v>0.0005109100000000001</v>
      </c>
      <c r="U24" s="15" t="n">
        <v>0.00050581</v>
      </c>
      <c r="V24" s="15" t="n">
        <v>0.00050075</v>
      </c>
      <c r="W24" s="15" t="n">
        <v>0.00049574</v>
      </c>
      <c r="X24" s="15" t="n">
        <v>0.00049078</v>
      </c>
      <c r="Y24" s="15" t="n">
        <v>0.00048587</v>
      </c>
      <c r="Z24" s="15" t="n">
        <v>0.00048102</v>
      </c>
      <c r="AA24" s="15" t="n">
        <v>0.00047621</v>
      </c>
      <c r="AB24" s="15" t="n">
        <v>0.00047144</v>
      </c>
      <c r="AC24" s="15" t="n">
        <v>0.00046673</v>
      </c>
      <c r="AD24" s="15" t="n">
        <v>0.00046206</v>
      </c>
      <c r="AE24" s="15" t="n">
        <v>0.00045744</v>
      </c>
      <c r="AF24" s="15" t="n">
        <v>0.00045287</v>
      </c>
      <c r="AG24" s="15" t="n">
        <v>0.00044834</v>
      </c>
      <c r="AH24" s="15" t="n">
        <v>0.00044385</v>
      </c>
      <c r="AI24" s="15" t="n">
        <v>0.00043942</v>
      </c>
      <c r="AJ24" s="15" t="n">
        <v>0.00043502</v>
      </c>
      <c r="AK24" s="15" t="n">
        <v>0.00043067</v>
      </c>
      <c r="AL24" s="15" t="n">
        <v>0.00042637</v>
      </c>
      <c r="AM24" s="15" t="n">
        <v>0.0004221</v>
      </c>
      <c r="AN24" s="15" t="n">
        <v>0.00041788</v>
      </c>
      <c r="AO24" s="15" t="n">
        <v>0.0004137</v>
      </c>
      <c r="AP24" s="15" t="n">
        <v>0.00040956</v>
      </c>
      <c r="AQ24" s="15" t="n">
        <v>0.00040547</v>
      </c>
      <c r="AR24" s="15" t="n">
        <v>0.00040141</v>
      </c>
      <c r="AS24" s="15" t="n">
        <v>0.0003974</v>
      </c>
      <c r="AT24" s="15" t="n">
        <v>0.00039343</v>
      </c>
      <c r="AU24" s="15" t="n">
        <v>0.00038949</v>
      </c>
      <c r="AV24" s="15" t="n">
        <v>0.0003856</v>
      </c>
      <c r="AW24" s="15" t="n">
        <v>0.00038174</v>
      </c>
      <c r="AX24" s="15" t="n">
        <v>0.00037792</v>
      </c>
      <c r="AY24" s="15" t="n">
        <v>0.00037414</v>
      </c>
      <c r="AZ24" s="15" t="n">
        <v>0.0003704</v>
      </c>
      <c r="BA24" s="15" t="n">
        <v>0.0003667</v>
      </c>
      <c r="BB24" s="15" t="n">
        <v>0.00036303</v>
      </c>
      <c r="BC24" s="15" t="n">
        <v>0.0003594</v>
      </c>
      <c r="BD24" s="15" t="n">
        <v>0.00035581</v>
      </c>
      <c r="BE24" s="15" t="n">
        <v>0.00035225</v>
      </c>
      <c r="BF24" s="15" t="n">
        <v>0.00034873</v>
      </c>
      <c r="BG24" s="15" t="n">
        <v>0.00034524</v>
      </c>
      <c r="BH24" s="15" t="n">
        <v>0.00034179</v>
      </c>
      <c r="BI24" s="15" t="n">
        <v>0.00033837</v>
      </c>
      <c r="BJ24" s="15" t="n">
        <v>0.00033499</v>
      </c>
      <c r="BK24" s="15" t="n">
        <v>0.00033164</v>
      </c>
      <c r="BL24" s="15" t="n">
        <v>0.00032832</v>
      </c>
      <c r="BM24" s="15" t="n">
        <v>0.00032504</v>
      </c>
      <c r="BN24" s="15" t="n">
        <v>0.00032179</v>
      </c>
      <c r="BO24" s="15" t="n">
        <v>0.00031857</v>
      </c>
      <c r="BP24" s="15" t="n">
        <v>0.00031538</v>
      </c>
      <c r="BQ24" s="15" t="n">
        <v>0.00031223</v>
      </c>
      <c r="BR24" s="15" t="n">
        <v>0.00030911</v>
      </c>
      <c r="BS24" s="15" t="n">
        <v>0.00030602</v>
      </c>
      <c r="BT24" s="15" t="n">
        <v>0.00030296</v>
      </c>
      <c r="BU24" s="15" t="n">
        <v>0.00029993</v>
      </c>
      <c r="BV24" s="15" t="n">
        <v>0.00029693</v>
      </c>
      <c r="BW24" s="15" t="n">
        <v>0.00029396</v>
      </c>
      <c r="BX24" s="15" t="n">
        <v>0.00029102</v>
      </c>
    </row>
    <row r="25">
      <c r="A25" t="n">
        <v>42</v>
      </c>
      <c r="B25" s="15" t="n">
        <v>0.00064602</v>
      </c>
      <c r="C25" s="15" t="n">
        <v>0.00063899</v>
      </c>
      <c r="D25" s="15" t="n">
        <v>0.00063213</v>
      </c>
      <c r="E25" s="15" t="n">
        <v>0.00062544</v>
      </c>
      <c r="F25" s="15" t="n">
        <v>0.0006189</v>
      </c>
      <c r="G25" s="15" t="n">
        <v>0.00061252</v>
      </c>
      <c r="H25" s="15" t="n">
        <v>0.00060626</v>
      </c>
      <c r="I25" s="15" t="n">
        <v>0.00060012</v>
      </c>
      <c r="J25" s="15" t="n">
        <v>0.00059409</v>
      </c>
      <c r="K25" s="15" t="n">
        <v>0.00058814</v>
      </c>
      <c r="L25" s="15" t="n">
        <v>0.00058225</v>
      </c>
      <c r="M25" s="15" t="n">
        <v>0.00057643</v>
      </c>
      <c r="N25" s="15" t="n">
        <v>0.00057067</v>
      </c>
      <c r="O25" s="15" t="n">
        <v>0.00056496</v>
      </c>
      <c r="P25" s="15" t="n">
        <v>0.00055931</v>
      </c>
      <c r="Q25" s="15" t="n">
        <v>0.00055372</v>
      </c>
      <c r="R25" s="15" t="n">
        <v>0.00054818</v>
      </c>
      <c r="S25" s="15" t="n">
        <v>0.0005427</v>
      </c>
      <c r="T25" s="15" t="n">
        <v>0.00053727</v>
      </c>
      <c r="U25" s="15" t="n">
        <v>0.0005319</v>
      </c>
      <c r="V25" s="15" t="n">
        <v>0.00052658</v>
      </c>
      <c r="W25" s="15" t="n">
        <v>0.00052131</v>
      </c>
      <c r="X25" s="15" t="n">
        <v>0.0005161</v>
      </c>
      <c r="Y25" s="15" t="n">
        <v>0.00051094</v>
      </c>
      <c r="Z25" s="15" t="n">
        <v>0.00050583</v>
      </c>
      <c r="AA25" s="15" t="n">
        <v>0.00050077</v>
      </c>
      <c r="AB25" s="15" t="n">
        <v>0.00049577</v>
      </c>
      <c r="AC25" s="15" t="n">
        <v>0.0004908100000000001</v>
      </c>
      <c r="AD25" s="15" t="n">
        <v>0.0004859</v>
      </c>
      <c r="AE25" s="15" t="n">
        <v>0.00048104</v>
      </c>
      <c r="AF25" s="15" t="n">
        <v>0.00047623</v>
      </c>
      <c r="AG25" s="15" t="n">
        <v>0.00047147</v>
      </c>
      <c r="AH25" s="15" t="n">
        <v>0.00046675</v>
      </c>
      <c r="AI25" s="15" t="n">
        <v>0.00046209</v>
      </c>
      <c r="AJ25" s="15" t="n">
        <v>0.00045746</v>
      </c>
      <c r="AK25" s="15" t="n">
        <v>0.00045289</v>
      </c>
      <c r="AL25" s="15" t="n">
        <v>0.00044836</v>
      </c>
      <c r="AM25" s="15" t="n">
        <v>0.00044388</v>
      </c>
      <c r="AN25" s="15" t="n">
        <v>0.00043944</v>
      </c>
      <c r="AO25" s="15" t="n">
        <v>0.00043504</v>
      </c>
      <c r="AP25" s="15" t="n">
        <v>0.00043069</v>
      </c>
      <c r="AQ25" s="15" t="n">
        <v>0.00042639</v>
      </c>
      <c r="AR25" s="15" t="n">
        <v>0.00042212</v>
      </c>
      <c r="AS25" s="15" t="n">
        <v>0.0004179</v>
      </c>
      <c r="AT25" s="15" t="n">
        <v>0.00041372</v>
      </c>
      <c r="AU25" s="15" t="n">
        <v>0.00040959</v>
      </c>
      <c r="AV25" s="15" t="n">
        <v>0.00040549</v>
      </c>
      <c r="AW25" s="15" t="n">
        <v>0.00040143</v>
      </c>
      <c r="AX25" s="15" t="n">
        <v>0.00039742</v>
      </c>
      <c r="AY25" s="15" t="n">
        <v>0.00039345</v>
      </c>
      <c r="AZ25" s="15" t="n">
        <v>0.00038951</v>
      </c>
      <c r="BA25" s="15" t="n">
        <v>0.00038562</v>
      </c>
      <c r="BB25" s="15" t="n">
        <v>0.00038176</v>
      </c>
      <c r="BC25" s="15" t="n">
        <v>0.00037794</v>
      </c>
      <c r="BD25" s="15" t="n">
        <v>0.00037416</v>
      </c>
      <c r="BE25" s="15" t="n">
        <v>0.00037042</v>
      </c>
      <c r="BF25" s="15" t="n">
        <v>0.00036672</v>
      </c>
      <c r="BG25" s="15" t="n">
        <v>0.00036305</v>
      </c>
      <c r="BH25" s="15" t="n">
        <v>0.00035942</v>
      </c>
      <c r="BI25" s="15" t="n">
        <v>0.00035583</v>
      </c>
      <c r="BJ25" s="15" t="n">
        <v>0.00035227</v>
      </c>
      <c r="BK25" s="15" t="n">
        <v>0.00034874</v>
      </c>
      <c r="BL25" s="15" t="n">
        <v>0.00034526</v>
      </c>
      <c r="BM25" s="15" t="n">
        <v>0.0003418</v>
      </c>
      <c r="BN25" s="15" t="n">
        <v>0.00033839</v>
      </c>
      <c r="BO25" s="15" t="n">
        <v>0.000335</v>
      </c>
      <c r="BP25" s="15" t="n">
        <v>0.00033165</v>
      </c>
      <c r="BQ25" s="15" t="n">
        <v>0.00032834</v>
      </c>
      <c r="BR25" s="15" t="n">
        <v>0.00032505</v>
      </c>
      <c r="BS25" s="15" t="n">
        <v>0.0003218</v>
      </c>
      <c r="BT25" s="15" t="n">
        <v>0.00031858</v>
      </c>
      <c r="BU25" s="15" t="n">
        <v>0.0003154</v>
      </c>
      <c r="BV25" s="15" t="n">
        <v>0.00031224</v>
      </c>
      <c r="BW25" s="15" t="n">
        <v>0.00030912</v>
      </c>
      <c r="BX25" s="15" t="n">
        <v>0.00030603</v>
      </c>
    </row>
    <row r="26">
      <c r="A26" t="n">
        <v>43</v>
      </c>
      <c r="B26" s="15" t="n">
        <v>0.00067878</v>
      </c>
      <c r="C26" s="15" t="n">
        <v>0.00067122</v>
      </c>
      <c r="D26" s="15" t="n">
        <v>0.00066387</v>
      </c>
      <c r="E26" s="15" t="n">
        <v>0.00065673</v>
      </c>
      <c r="F26" s="15" t="n">
        <v>0.00064978</v>
      </c>
      <c r="G26" s="15" t="n">
        <v>0.00064301</v>
      </c>
      <c r="H26" s="15" t="n">
        <v>0.00063641</v>
      </c>
      <c r="I26" s="15" t="n">
        <v>0.0006299399999999999</v>
      </c>
      <c r="J26" s="15" t="n">
        <v>0.00062359</v>
      </c>
      <c r="K26" s="15" t="n">
        <v>0.00061735</v>
      </c>
      <c r="L26" s="15" t="n">
        <v>0.00061117</v>
      </c>
      <c r="M26" s="15" t="n">
        <v>0.00060506</v>
      </c>
      <c r="N26" s="15" t="n">
        <v>0.00059901</v>
      </c>
      <c r="O26" s="15" t="n">
        <v>0.00059302</v>
      </c>
      <c r="P26" s="15" t="n">
        <v>0.00058709</v>
      </c>
      <c r="Q26" s="15" t="n">
        <v>0.00058122</v>
      </c>
      <c r="R26" s="15" t="n">
        <v>0.00057541</v>
      </c>
      <c r="S26" s="15" t="n">
        <v>0.00056965</v>
      </c>
      <c r="T26" s="15" t="n">
        <v>0.00056396</v>
      </c>
      <c r="U26" s="15" t="n">
        <v>0.00055832</v>
      </c>
      <c r="V26" s="15" t="n">
        <v>0.00055273</v>
      </c>
      <c r="W26" s="15" t="n">
        <v>0.00054721</v>
      </c>
      <c r="X26" s="15" t="n">
        <v>0.00054173</v>
      </c>
      <c r="Y26" s="15" t="n">
        <v>0.00053632</v>
      </c>
      <c r="Z26" s="15" t="n">
        <v>0.00053095</v>
      </c>
      <c r="AA26" s="15" t="n">
        <v>0.00052564</v>
      </c>
      <c r="AB26" s="15" t="n">
        <v>0.00052039</v>
      </c>
      <c r="AC26" s="15" t="n">
        <v>0.00051518</v>
      </c>
      <c r="AD26" s="15" t="n">
        <v>0.00051003</v>
      </c>
      <c r="AE26" s="15" t="n">
        <v>0.00050493</v>
      </c>
      <c r="AF26" s="15" t="n">
        <v>0.00049988</v>
      </c>
      <c r="AG26" s="15" t="n">
        <v>0.00049488</v>
      </c>
      <c r="AH26" s="15" t="n">
        <v>0.00048993</v>
      </c>
      <c r="AI26" s="15" t="n">
        <v>0.00048503</v>
      </c>
      <c r="AJ26" s="15" t="n">
        <v>0.00048018</v>
      </c>
      <c r="AK26" s="15" t="n">
        <v>0.00047538</v>
      </c>
      <c r="AL26" s="15" t="n">
        <v>0.00047063</v>
      </c>
      <c r="AM26" s="15" t="n">
        <v>0.00046592</v>
      </c>
      <c r="AN26" s="15" t="n">
        <v>0.00046126</v>
      </c>
      <c r="AO26" s="15" t="n">
        <v>0.00045665</v>
      </c>
      <c r="AP26" s="15" t="n">
        <v>0.00045208</v>
      </c>
      <c r="AQ26" s="15" t="n">
        <v>0.00044756</v>
      </c>
      <c r="AR26" s="15" t="n">
        <v>0.00044309</v>
      </c>
      <c r="AS26" s="15" t="n">
        <v>0.00043866</v>
      </c>
      <c r="AT26" s="15" t="n">
        <v>0.00043427</v>
      </c>
      <c r="AU26" s="15" t="n">
        <v>0.00042993</v>
      </c>
      <c r="AV26" s="15" t="n">
        <v>0.00042563</v>
      </c>
      <c r="AW26" s="15" t="n">
        <v>0.00042137</v>
      </c>
      <c r="AX26" s="15" t="n">
        <v>0.00041716</v>
      </c>
      <c r="AY26" s="15" t="n">
        <v>0.00041299</v>
      </c>
      <c r="AZ26" s="15" t="n">
        <v>0.00040886</v>
      </c>
      <c r="BA26" s="15" t="n">
        <v>0.00040477</v>
      </c>
      <c r="BB26" s="15" t="n">
        <v>0.00040072</v>
      </c>
      <c r="BC26" s="15" t="n">
        <v>0.00039671</v>
      </c>
      <c r="BD26" s="15" t="n">
        <v>0.00039275</v>
      </c>
      <c r="BE26" s="15" t="n">
        <v>0.00038882</v>
      </c>
      <c r="BF26" s="15" t="n">
        <v>0.00038493</v>
      </c>
      <c r="BG26" s="15" t="n">
        <v>0.00038108</v>
      </c>
      <c r="BH26" s="15" t="n">
        <v>0.00037727</v>
      </c>
      <c r="BI26" s="15" t="n">
        <v>0.0003735</v>
      </c>
      <c r="BJ26" s="15" t="n">
        <v>0.00036976</v>
      </c>
      <c r="BK26" s="15" t="n">
        <v>0.00036607</v>
      </c>
      <c r="BL26" s="15" t="n">
        <v>0.0003624</v>
      </c>
      <c r="BM26" s="15" t="n">
        <v>0.00035878</v>
      </c>
      <c r="BN26" s="15" t="n">
        <v>0.00035519</v>
      </c>
      <c r="BO26" s="15" t="n">
        <v>0.00035164</v>
      </c>
      <c r="BP26" s="15" t="n">
        <v>0.00034812</v>
      </c>
      <c r="BQ26" s="15" t="n">
        <v>0.00034464</v>
      </c>
      <c r="BR26" s="15" t="n">
        <v>0.0003412</v>
      </c>
      <c r="BS26" s="15" t="n">
        <v>0.00033778</v>
      </c>
      <c r="BT26" s="15" t="n">
        <v>0.00033441</v>
      </c>
      <c r="BU26" s="15" t="n">
        <v>0.00033106</v>
      </c>
      <c r="BV26" s="15" t="n">
        <v>0.00032775</v>
      </c>
      <c r="BW26" s="15" t="n">
        <v>0.00032447</v>
      </c>
      <c r="BX26" s="15" t="n">
        <v>0.00032123</v>
      </c>
    </row>
    <row r="27">
      <c r="A27" t="n">
        <v>44</v>
      </c>
      <c r="B27" s="15" t="n">
        <v>0.0007177900000000001</v>
      </c>
      <c r="C27" s="15" t="n">
        <v>0.00070959</v>
      </c>
      <c r="D27" s="15" t="n">
        <v>0.00070166</v>
      </c>
      <c r="E27" s="15" t="n">
        <v>0.00069398</v>
      </c>
      <c r="F27" s="15" t="n">
        <v>0.00068654</v>
      </c>
      <c r="G27" s="15" t="n">
        <v>0.00067932</v>
      </c>
      <c r="H27" s="15" t="n">
        <v>0.00067229</v>
      </c>
      <c r="I27" s="15" t="n">
        <v>0.00066544</v>
      </c>
      <c r="J27" s="15" t="n">
        <v>0.00065872</v>
      </c>
      <c r="K27" s="15" t="n">
        <v>0.00065212</v>
      </c>
      <c r="L27" s="15" t="n">
        <v>0.00064559</v>
      </c>
      <c r="M27" s="15" t="n">
        <v>0.00063914</v>
      </c>
      <c r="N27" s="15" t="n">
        <v>0.00063275</v>
      </c>
      <c r="O27" s="15" t="n">
        <v>0.00062642</v>
      </c>
      <c r="P27" s="15" t="n">
        <v>0.00062016</v>
      </c>
      <c r="Q27" s="15" t="n">
        <v>0.00061395</v>
      </c>
      <c r="R27" s="15" t="n">
        <v>0.00060781</v>
      </c>
      <c r="S27" s="15" t="n">
        <v>0.00060174</v>
      </c>
      <c r="T27" s="15" t="n">
        <v>0.00059572</v>
      </c>
      <c r="U27" s="15" t="n">
        <v>0.00058976</v>
      </c>
      <c r="V27" s="15" t="n">
        <v>0.00058386</v>
      </c>
      <c r="W27" s="15" t="n">
        <v>0.00057803</v>
      </c>
      <c r="X27" s="15" t="n">
        <v>0.00057225</v>
      </c>
      <c r="Y27" s="15" t="n">
        <v>0.00056652</v>
      </c>
      <c r="Z27" s="15" t="n">
        <v>0.00056086</v>
      </c>
      <c r="AA27" s="15" t="n">
        <v>0.00055525</v>
      </c>
      <c r="AB27" s="15" t="n">
        <v>0.0005497</v>
      </c>
      <c r="AC27" s="15" t="n">
        <v>0.0005442</v>
      </c>
      <c r="AD27" s="15" t="n">
        <v>0.00053876</v>
      </c>
      <c r="AE27" s="15" t="n">
        <v>0.00053337</v>
      </c>
      <c r="AF27" s="15" t="n">
        <v>0.00052804</v>
      </c>
      <c r="AG27" s="15" t="n">
        <v>0.00052276</v>
      </c>
      <c r="AH27" s="15" t="n">
        <v>0.00051753</v>
      </c>
      <c r="AI27" s="15" t="n">
        <v>0.00051235</v>
      </c>
      <c r="AJ27" s="15" t="n">
        <v>0.00050723</v>
      </c>
      <c r="AK27" s="15" t="n">
        <v>0.00050216</v>
      </c>
      <c r="AL27" s="15" t="n">
        <v>0.00049714</v>
      </c>
      <c r="AM27" s="15" t="n">
        <v>0.0004921599999999999</v>
      </c>
      <c r="AN27" s="15" t="n">
        <v>0.00048724</v>
      </c>
      <c r="AO27" s="15" t="n">
        <v>0.00048237</v>
      </c>
      <c r="AP27" s="15" t="n">
        <v>0.00047755</v>
      </c>
      <c r="AQ27" s="15" t="n">
        <v>0.00047277</v>
      </c>
      <c r="AR27" s="15" t="n">
        <v>0.00046804</v>
      </c>
      <c r="AS27" s="15" t="n">
        <v>0.00046336</v>
      </c>
      <c r="AT27" s="15" t="n">
        <v>0.00045873</v>
      </c>
      <c r="AU27" s="15" t="n">
        <v>0.00045414</v>
      </c>
      <c r="AV27" s="15" t="n">
        <v>0.0004496</v>
      </c>
      <c r="AW27" s="15" t="n">
        <v>0.0004451</v>
      </c>
      <c r="AX27" s="15" t="n">
        <v>0.00044065</v>
      </c>
      <c r="AY27" s="15" t="n">
        <v>0.00043625</v>
      </c>
      <c r="AZ27" s="15" t="n">
        <v>0.00043188</v>
      </c>
      <c r="BA27" s="15" t="n">
        <v>0.00042757</v>
      </c>
      <c r="BB27" s="15" t="n">
        <v>0.00042329</v>
      </c>
      <c r="BC27" s="15" t="n">
        <v>0.00041906</v>
      </c>
      <c r="BD27" s="15" t="n">
        <v>0.00041487</v>
      </c>
      <c r="BE27" s="15" t="n">
        <v>0.00041072</v>
      </c>
      <c r="BF27" s="15" t="n">
        <v>0.00040661</v>
      </c>
      <c r="BG27" s="15" t="n">
        <v>0.00040254</v>
      </c>
      <c r="BH27" s="15" t="n">
        <v>0.00039852</v>
      </c>
      <c r="BI27" s="15" t="n">
        <v>0.00039453</v>
      </c>
      <c r="BJ27" s="15" t="n">
        <v>0.00039059</v>
      </c>
      <c r="BK27" s="15" t="n">
        <v>0.00038668</v>
      </c>
      <c r="BL27" s="15" t="n">
        <v>0.00038282</v>
      </c>
      <c r="BM27" s="15" t="n">
        <v>0.00037899</v>
      </c>
      <c r="BN27" s="15" t="n">
        <v>0.0003752</v>
      </c>
      <c r="BO27" s="15" t="n">
        <v>0.00037145</v>
      </c>
      <c r="BP27" s="15" t="n">
        <v>0.00036773</v>
      </c>
      <c r="BQ27" s="15" t="n">
        <v>0.00036405</v>
      </c>
      <c r="BR27" s="15" t="n">
        <v>0.00036041</v>
      </c>
      <c r="BS27" s="15" t="n">
        <v>0.00035681</v>
      </c>
      <c r="BT27" s="15" t="n">
        <v>0.00035324</v>
      </c>
      <c r="BU27" s="15" t="n">
        <v>0.00034971</v>
      </c>
      <c r="BV27" s="15" t="n">
        <v>0.00034621</v>
      </c>
      <c r="BW27" s="15" t="n">
        <v>0.00034275</v>
      </c>
      <c r="BX27" s="15" t="n">
        <v>0.00033932</v>
      </c>
    </row>
    <row r="28">
      <c r="A28" t="n">
        <v>45</v>
      </c>
      <c r="B28" s="15" t="n">
        <v>0.00076231</v>
      </c>
      <c r="C28" s="15" t="n">
        <v>0.00075338</v>
      </c>
      <c r="D28" s="15" t="n">
        <v>0.00074477</v>
      </c>
      <c r="E28" s="15" t="n">
        <v>0.00073648</v>
      </c>
      <c r="F28" s="15" t="n">
        <v>0.00072848</v>
      </c>
      <c r="G28" s="15" t="n">
        <v>0.00072074</v>
      </c>
      <c r="H28" s="15" t="n">
        <v>0.00071323</v>
      </c>
      <c r="I28" s="15" t="n">
        <v>0.00070593</v>
      </c>
      <c r="J28" s="15" t="n">
        <v>0.00069879</v>
      </c>
      <c r="K28" s="15" t="n">
        <v>0.00069178</v>
      </c>
      <c r="L28" s="15" t="n">
        <v>0.00068486</v>
      </c>
      <c r="M28" s="15" t="n">
        <v>0.00067801</v>
      </c>
      <c r="N28" s="15" t="n">
        <v>0.00067123</v>
      </c>
      <c r="O28" s="15" t="n">
        <v>0.00066452</v>
      </c>
      <c r="P28" s="15" t="n">
        <v>0.00065787</v>
      </c>
      <c r="Q28" s="15" t="n">
        <v>0.0006512999999999999</v>
      </c>
      <c r="R28" s="15" t="n">
        <v>0.00064478</v>
      </c>
      <c r="S28" s="15" t="n">
        <v>0.00063834</v>
      </c>
      <c r="T28" s="15" t="n">
        <v>0.00063195</v>
      </c>
      <c r="U28" s="15" t="n">
        <v>0.00062563</v>
      </c>
      <c r="V28" s="15" t="n">
        <v>0.00061938</v>
      </c>
      <c r="W28" s="15" t="n">
        <v>0.00061318</v>
      </c>
      <c r="X28" s="15" t="n">
        <v>0.00060705</v>
      </c>
      <c r="Y28" s="15" t="n">
        <v>0.00060098</v>
      </c>
      <c r="Z28" s="15" t="n">
        <v>0.00059497</v>
      </c>
      <c r="AA28" s="15" t="n">
        <v>0.00058902</v>
      </c>
      <c r="AB28" s="15" t="n">
        <v>0.00058313</v>
      </c>
      <c r="AC28" s="15" t="n">
        <v>0.0005773</v>
      </c>
      <c r="AD28" s="15" t="n">
        <v>0.00057153</v>
      </c>
      <c r="AE28" s="15" t="n">
        <v>0.00056581</v>
      </c>
      <c r="AF28" s="15" t="n">
        <v>0.00056015</v>
      </c>
      <c r="AG28" s="15" t="n">
        <v>0.00055455</v>
      </c>
      <c r="AH28" s="15" t="n">
        <v>0.0005490099999999999</v>
      </c>
      <c r="AI28" s="15" t="n">
        <v>0.00054352</v>
      </c>
      <c r="AJ28" s="15" t="n">
        <v>0.00053808</v>
      </c>
      <c r="AK28" s="15" t="n">
        <v>0.0005327</v>
      </c>
      <c r="AL28" s="15" t="n">
        <v>0.00052737</v>
      </c>
      <c r="AM28" s="15" t="n">
        <v>0.0005221</v>
      </c>
      <c r="AN28" s="15" t="n">
        <v>0.0005168800000000001</v>
      </c>
      <c r="AO28" s="15" t="n">
        <v>0.00051171</v>
      </c>
      <c r="AP28" s="15" t="n">
        <v>0.00050659</v>
      </c>
      <c r="AQ28" s="15" t="n">
        <v>0.00050153</v>
      </c>
      <c r="AR28" s="15" t="n">
        <v>0.00049651</v>
      </c>
      <c r="AS28" s="15" t="n">
        <v>0.00049155</v>
      </c>
      <c r="AT28" s="15" t="n">
        <v>0.00048663</v>
      </c>
      <c r="AU28" s="15" t="n">
        <v>0.00048176</v>
      </c>
      <c r="AV28" s="15" t="n">
        <v>0.00047695</v>
      </c>
      <c r="AW28" s="15" t="n">
        <v>0.00047218</v>
      </c>
      <c r="AX28" s="15" t="n">
        <v>0.00046745</v>
      </c>
      <c r="AY28" s="15" t="n">
        <v>0.00046278</v>
      </c>
      <c r="AZ28" s="15" t="n">
        <v>0.00045815</v>
      </c>
      <c r="BA28" s="15" t="n">
        <v>0.00045357</v>
      </c>
      <c r="BB28" s="15" t="n">
        <v>0.00044904</v>
      </c>
      <c r="BC28" s="15" t="n">
        <v>0.00044455</v>
      </c>
      <c r="BD28" s="15" t="n">
        <v>0.0004401</v>
      </c>
      <c r="BE28" s="15" t="n">
        <v>0.0004357</v>
      </c>
      <c r="BF28" s="15" t="n">
        <v>0.00043134</v>
      </c>
      <c r="BG28" s="15" t="n">
        <v>0.00042703</v>
      </c>
      <c r="BH28" s="15" t="n">
        <v>0.00042276</v>
      </c>
      <c r="BI28" s="15" t="n">
        <v>0.00041853</v>
      </c>
      <c r="BJ28" s="15" t="n">
        <v>0.00041435</v>
      </c>
      <c r="BK28" s="15" t="n">
        <v>0.0004102</v>
      </c>
      <c r="BL28" s="15" t="n">
        <v>0.0004061</v>
      </c>
      <c r="BM28" s="15" t="n">
        <v>0.00040204</v>
      </c>
      <c r="BN28" s="15" t="n">
        <v>0.00039802</v>
      </c>
      <c r="BO28" s="15" t="n">
        <v>0.00039404</v>
      </c>
      <c r="BP28" s="15" t="n">
        <v>0.0003901</v>
      </c>
      <c r="BQ28" s="15" t="n">
        <v>0.0003862</v>
      </c>
      <c r="BR28" s="15" t="n">
        <v>0.00038233</v>
      </c>
      <c r="BS28" s="15" t="n">
        <v>0.00037851</v>
      </c>
      <c r="BT28" s="15" t="n">
        <v>0.00037473</v>
      </c>
      <c r="BU28" s="15" t="n">
        <v>0.00037098</v>
      </c>
      <c r="BV28" s="15" t="n">
        <v>0.00036727</v>
      </c>
      <c r="BW28" s="15" t="n">
        <v>0.0003636</v>
      </c>
      <c r="BX28" s="15" t="n">
        <v>0.00035996</v>
      </c>
    </row>
    <row r="29">
      <c r="A29" t="n">
        <v>46</v>
      </c>
      <c r="B29" s="15" t="n">
        <v>0.00081083</v>
      </c>
      <c r="C29" s="15" t="n">
        <v>0.00080109</v>
      </c>
      <c r="D29" s="15" t="n">
        <v>0.00079175</v>
      </c>
      <c r="E29" s="15" t="n">
        <v>0.00078278</v>
      </c>
      <c r="F29" s="15" t="n">
        <v>0.00077415</v>
      </c>
      <c r="G29" s="15" t="n">
        <v>0.0007658400000000001</v>
      </c>
      <c r="H29" s="15" t="n">
        <v>0.00075781</v>
      </c>
      <c r="I29" s="15" t="n">
        <v>0.00075001</v>
      </c>
      <c r="J29" s="15" t="n">
        <v>0.00074241</v>
      </c>
      <c r="K29" s="15" t="n">
        <v>0.00073496</v>
      </c>
      <c r="L29" s="15" t="n">
        <v>0.00072761</v>
      </c>
      <c r="M29" s="15" t="n">
        <v>0.00072034</v>
      </c>
      <c r="N29" s="15" t="n">
        <v>0.00071313</v>
      </c>
      <c r="O29" s="15" t="n">
        <v>0.000706</v>
      </c>
      <c r="P29" s="15" t="n">
        <v>0.00069894</v>
      </c>
      <c r="Q29" s="15" t="n">
        <v>0.00069195</v>
      </c>
      <c r="R29" s="15" t="n">
        <v>0.00068503</v>
      </c>
      <c r="S29" s="15" t="n">
        <v>0.00067818</v>
      </c>
      <c r="T29" s="15" t="n">
        <v>0.0006713999999999999</v>
      </c>
      <c r="U29" s="15" t="n">
        <v>0.00066469</v>
      </c>
      <c r="V29" s="15" t="n">
        <v>0.00065804</v>
      </c>
      <c r="W29" s="15" t="n">
        <v>0.00065146</v>
      </c>
      <c r="X29" s="15" t="n">
        <v>0.00064495</v>
      </c>
      <c r="Y29" s="15" t="n">
        <v>0.0006385</v>
      </c>
      <c r="Z29" s="15" t="n">
        <v>0.00063211</v>
      </c>
      <c r="AA29" s="15" t="n">
        <v>0.00062579</v>
      </c>
      <c r="AB29" s="15" t="n">
        <v>0.00061953</v>
      </c>
      <c r="AC29" s="15" t="n">
        <v>0.00061334</v>
      </c>
      <c r="AD29" s="15" t="n">
        <v>0.0006072</v>
      </c>
      <c r="AE29" s="15" t="n">
        <v>0.00060113</v>
      </c>
      <c r="AF29" s="15" t="n">
        <v>0.00059512</v>
      </c>
      <c r="AG29" s="15" t="n">
        <v>0.00058917</v>
      </c>
      <c r="AH29" s="15" t="n">
        <v>0.00058328</v>
      </c>
      <c r="AI29" s="15" t="n">
        <v>0.00057744</v>
      </c>
      <c r="AJ29" s="15" t="n">
        <v>0.00057167</v>
      </c>
      <c r="AK29" s="15" t="n">
        <v>0.00056595</v>
      </c>
      <c r="AL29" s="15" t="n">
        <v>0.00056029</v>
      </c>
      <c r="AM29" s="15" t="n">
        <v>0.00055469</v>
      </c>
      <c r="AN29" s="15" t="n">
        <v>0.00054914</v>
      </c>
      <c r="AO29" s="15" t="n">
        <v>0.00054365</v>
      </c>
      <c r="AP29" s="15" t="n">
        <v>0.00053822</v>
      </c>
      <c r="AQ29" s="15" t="n">
        <v>0.00053283</v>
      </c>
      <c r="AR29" s="15" t="n">
        <v>0.00052751</v>
      </c>
      <c r="AS29" s="15" t="n">
        <v>0.00052223</v>
      </c>
      <c r="AT29" s="15" t="n">
        <v>0.00051701</v>
      </c>
      <c r="AU29" s="15" t="n">
        <v>0.00051184</v>
      </c>
      <c r="AV29" s="15" t="n">
        <v>0.00050672</v>
      </c>
      <c r="AW29" s="15" t="n">
        <v>0.00050165</v>
      </c>
      <c r="AX29" s="15" t="n">
        <v>0.00049664</v>
      </c>
      <c r="AY29" s="15" t="n">
        <v>0.00049167</v>
      </c>
      <c r="AZ29" s="15" t="n">
        <v>0.00048675</v>
      </c>
      <c r="BA29" s="15" t="n">
        <v>0.00048189</v>
      </c>
      <c r="BB29" s="15" t="n">
        <v>0.00047707</v>
      </c>
      <c r="BC29" s="15" t="n">
        <v>0.0004723</v>
      </c>
      <c r="BD29" s="15" t="n">
        <v>0.00046757</v>
      </c>
      <c r="BE29" s="15" t="n">
        <v>0.0004629</v>
      </c>
      <c r="BF29" s="15" t="n">
        <v>0.00045827</v>
      </c>
      <c r="BG29" s="15" t="n">
        <v>0.00045369</v>
      </c>
      <c r="BH29" s="15" t="n">
        <v>0.00044915</v>
      </c>
      <c r="BI29" s="15" t="n">
        <v>0.00044466</v>
      </c>
      <c r="BJ29" s="15" t="n">
        <v>0.00044021</v>
      </c>
      <c r="BK29" s="15" t="n">
        <v>0.00043581</v>
      </c>
      <c r="BL29" s="15" t="n">
        <v>0.00043145</v>
      </c>
      <c r="BM29" s="15" t="n">
        <v>0.00042714</v>
      </c>
      <c r="BN29" s="15" t="n">
        <v>0.00042286</v>
      </c>
      <c r="BO29" s="15" t="n">
        <v>0.00041864</v>
      </c>
      <c r="BP29" s="15" t="n">
        <v>0.00041445</v>
      </c>
      <c r="BQ29" s="15" t="n">
        <v>0.00041031</v>
      </c>
      <c r="BR29" s="15" t="n">
        <v>0.0004062</v>
      </c>
      <c r="BS29" s="15" t="n">
        <v>0.00040214</v>
      </c>
      <c r="BT29" s="15" t="n">
        <v>0.00039812</v>
      </c>
      <c r="BU29" s="15" t="n">
        <v>0.00039414</v>
      </c>
      <c r="BV29" s="15" t="n">
        <v>0.0003902</v>
      </c>
      <c r="BW29" s="15" t="n">
        <v>0.00038629</v>
      </c>
      <c r="BX29" s="15" t="n">
        <v>0.00038243</v>
      </c>
    </row>
    <row r="30">
      <c r="A30" t="n">
        <v>47</v>
      </c>
      <c r="B30" s="15" t="n">
        <v>0.00085214</v>
      </c>
      <c r="C30" s="15" t="n">
        <v>0.0008416400000000001</v>
      </c>
      <c r="D30" s="15" t="n">
        <v>0.00083161</v>
      </c>
      <c r="E30" s="15" t="n">
        <v>0.00082202</v>
      </c>
      <c r="F30" s="15" t="n">
        <v>0.00081283</v>
      </c>
      <c r="G30" s="15" t="n">
        <v>0.00080401</v>
      </c>
      <c r="H30" s="15" t="n">
        <v>0.00079552</v>
      </c>
      <c r="I30" s="15" t="n">
        <v>0.0007873</v>
      </c>
      <c r="J30" s="15" t="n">
        <v>0.00077931</v>
      </c>
      <c r="K30" s="15" t="n">
        <v>0.00077148</v>
      </c>
      <c r="L30" s="15" t="n">
        <v>0.00076377</v>
      </c>
      <c r="M30" s="15" t="n">
        <v>0.00075613</v>
      </c>
      <c r="N30" s="15" t="n">
        <v>0.0007485700000000001</v>
      </c>
      <c r="O30" s="15" t="n">
        <v>0.00074108</v>
      </c>
      <c r="P30" s="15" t="n">
        <v>0.00073367</v>
      </c>
      <c r="Q30" s="15" t="n">
        <v>0.00072634</v>
      </c>
      <c r="R30" s="15" t="n">
        <v>0.00071907</v>
      </c>
      <c r="S30" s="15" t="n">
        <v>0.00071188</v>
      </c>
      <c r="T30" s="15" t="n">
        <v>0.00070476</v>
      </c>
      <c r="U30" s="15" t="n">
        <v>0.00069772</v>
      </c>
      <c r="V30" s="15" t="n">
        <v>0.00069074</v>
      </c>
      <c r="W30" s="15" t="n">
        <v>0.00068383</v>
      </c>
      <c r="X30" s="15" t="n">
        <v>0.00067699</v>
      </c>
      <c r="Y30" s="15" t="n">
        <v>0.00067022</v>
      </c>
      <c r="Z30" s="15" t="n">
        <v>0.00066352</v>
      </c>
      <c r="AA30" s="15" t="n">
        <v>0.00065689</v>
      </c>
      <c r="AB30" s="15" t="n">
        <v>0.00065032</v>
      </c>
      <c r="AC30" s="15" t="n">
        <v>0.00064381</v>
      </c>
      <c r="AD30" s="15" t="n">
        <v>0.00063738</v>
      </c>
      <c r="AE30" s="15" t="n">
        <v>0.0006310000000000001</v>
      </c>
      <c r="AF30" s="15" t="n">
        <v>0.00062469</v>
      </c>
      <c r="AG30" s="15" t="n">
        <v>0.00061845</v>
      </c>
      <c r="AH30" s="15" t="n">
        <v>0.00061226</v>
      </c>
      <c r="AI30" s="15" t="n">
        <v>0.00060614</v>
      </c>
      <c r="AJ30" s="15" t="n">
        <v>0.00060008</v>
      </c>
      <c r="AK30" s="15" t="n">
        <v>0.00059408</v>
      </c>
      <c r="AL30" s="15" t="n">
        <v>0.00058814</v>
      </c>
      <c r="AM30" s="15" t="n">
        <v>0.00058225</v>
      </c>
      <c r="AN30" s="15" t="n">
        <v>0.00057643</v>
      </c>
      <c r="AO30" s="15" t="n">
        <v>0.00057067</v>
      </c>
      <c r="AP30" s="15" t="n">
        <v>0.00056496</v>
      </c>
      <c r="AQ30" s="15" t="n">
        <v>0.00055931</v>
      </c>
      <c r="AR30" s="15" t="n">
        <v>0.00055372</v>
      </c>
      <c r="AS30" s="15" t="n">
        <v>0.00054818</v>
      </c>
      <c r="AT30" s="15" t="n">
        <v>0.0005427</v>
      </c>
      <c r="AU30" s="15" t="n">
        <v>0.00053727</v>
      </c>
      <c r="AV30" s="15" t="n">
        <v>0.0005319</v>
      </c>
      <c r="AW30" s="15" t="n">
        <v>0.00052658</v>
      </c>
      <c r="AX30" s="15" t="n">
        <v>0.00052131</v>
      </c>
      <c r="AY30" s="15" t="n">
        <v>0.0005161</v>
      </c>
      <c r="AZ30" s="15" t="n">
        <v>0.00051094</v>
      </c>
      <c r="BA30" s="15" t="n">
        <v>0.00050583</v>
      </c>
      <c r="BB30" s="15" t="n">
        <v>0.00050077</v>
      </c>
      <c r="BC30" s="15" t="n">
        <v>0.00049576</v>
      </c>
      <c r="BD30" s="15" t="n">
        <v>0.0004908100000000001</v>
      </c>
      <c r="BE30" s="15" t="n">
        <v>0.0004859</v>
      </c>
      <c r="BF30" s="15" t="n">
        <v>0.00048104</v>
      </c>
      <c r="BG30" s="15" t="n">
        <v>0.00047623</v>
      </c>
      <c r="BH30" s="15" t="n">
        <v>0.00047147</v>
      </c>
      <c r="BI30" s="15" t="n">
        <v>0.00046675</v>
      </c>
      <c r="BJ30" s="15" t="n">
        <v>0.00046209</v>
      </c>
      <c r="BK30" s="15" t="n">
        <v>0.00045746</v>
      </c>
      <c r="BL30" s="15" t="n">
        <v>0.00045289</v>
      </c>
      <c r="BM30" s="15" t="n">
        <v>0.00044836</v>
      </c>
      <c r="BN30" s="15" t="n">
        <v>0.00044388</v>
      </c>
      <c r="BO30" s="15" t="n">
        <v>0.00043944</v>
      </c>
      <c r="BP30" s="15" t="n">
        <v>0.00043504</v>
      </c>
      <c r="BQ30" s="15" t="n">
        <v>0.00043069</v>
      </c>
      <c r="BR30" s="15" t="n">
        <v>0.00042639</v>
      </c>
      <c r="BS30" s="15" t="n">
        <v>0.00042212</v>
      </c>
      <c r="BT30" s="15" t="n">
        <v>0.0004179</v>
      </c>
      <c r="BU30" s="15" t="n">
        <v>0.00041372</v>
      </c>
      <c r="BV30" s="15" t="n">
        <v>0.00040959</v>
      </c>
      <c r="BW30" s="15" t="n">
        <v>0.00040549</v>
      </c>
      <c r="BX30" s="15" t="n">
        <v>0.00040143</v>
      </c>
    </row>
    <row r="31">
      <c r="A31" t="n">
        <v>48</v>
      </c>
      <c r="B31" s="15" t="n">
        <v>0.00089088</v>
      </c>
      <c r="C31" s="15" t="n">
        <v>0.00087962</v>
      </c>
      <c r="D31" s="15" t="n">
        <v>0.00086891</v>
      </c>
      <c r="E31" s="15" t="n">
        <v>0.0008587100000000001</v>
      </c>
      <c r="F31" s="15" t="n">
        <v>0.00084898</v>
      </c>
      <c r="G31" s="15" t="n">
        <v>0.00083967</v>
      </c>
      <c r="H31" s="15" t="n">
        <v>0.00083073</v>
      </c>
      <c r="I31" s="15" t="n">
        <v>0.00082211</v>
      </c>
      <c r="J31" s="15" t="n">
        <v>0.00081375</v>
      </c>
      <c r="K31" s="15" t="n">
        <v>0.00080557</v>
      </c>
      <c r="L31" s="15" t="n">
        <v>0.00079752</v>
      </c>
      <c r="M31" s="15" t="n">
        <v>0.00078954</v>
      </c>
      <c r="N31" s="15" t="n">
        <v>0.0007816500000000001</v>
      </c>
      <c r="O31" s="15" t="n">
        <v>0.00077383</v>
      </c>
      <c r="P31" s="15" t="n">
        <v>0.00076609</v>
      </c>
      <c r="Q31" s="15" t="n">
        <v>0.00075843</v>
      </c>
      <c r="R31" s="15" t="n">
        <v>0.00075085</v>
      </c>
      <c r="S31" s="15" t="n">
        <v>0.00074334</v>
      </c>
      <c r="T31" s="15" t="n">
        <v>0.00073591</v>
      </c>
      <c r="U31" s="15" t="n">
        <v>0.00072855</v>
      </c>
      <c r="V31" s="15" t="n">
        <v>0.00072126</v>
      </c>
      <c r="W31" s="15" t="n">
        <v>0.00071405</v>
      </c>
      <c r="X31" s="15" t="n">
        <v>0.00070691</v>
      </c>
      <c r="Y31" s="15" t="n">
        <v>0.00069984</v>
      </c>
      <c r="Z31" s="15" t="n">
        <v>0.00069284</v>
      </c>
      <c r="AA31" s="15" t="n">
        <v>0.00068591</v>
      </c>
      <c r="AB31" s="15" t="n">
        <v>0.0006790500000000001</v>
      </c>
      <c r="AC31" s="15" t="n">
        <v>0.00067226</v>
      </c>
      <c r="AD31" s="15" t="n">
        <v>0.0006655399999999999</v>
      </c>
      <c r="AE31" s="15" t="n">
        <v>0.00065888</v>
      </c>
      <c r="AF31" s="15" t="n">
        <v>0.0006523</v>
      </c>
      <c r="AG31" s="15" t="n">
        <v>0.00064577</v>
      </c>
      <c r="AH31" s="15" t="n">
        <v>0.00063932</v>
      </c>
      <c r="AI31" s="15" t="n">
        <v>0.00063292</v>
      </c>
      <c r="AJ31" s="15" t="n">
        <v>0.00062659</v>
      </c>
      <c r="AK31" s="15" t="n">
        <v>0.00062033</v>
      </c>
      <c r="AL31" s="15" t="n">
        <v>0.00061412</v>
      </c>
      <c r="AM31" s="15" t="n">
        <v>0.00060798</v>
      </c>
      <c r="AN31" s="15" t="n">
        <v>0.0006019</v>
      </c>
      <c r="AO31" s="15" t="n">
        <v>0.00059588</v>
      </c>
      <c r="AP31" s="15" t="n">
        <v>0.00058992</v>
      </c>
      <c r="AQ31" s="15" t="n">
        <v>0.00058403</v>
      </c>
      <c r="AR31" s="15" t="n">
        <v>0.00057819</v>
      </c>
      <c r="AS31" s="15" t="n">
        <v>0.0005724</v>
      </c>
      <c r="AT31" s="15" t="n">
        <v>0.00056668</v>
      </c>
      <c r="AU31" s="15" t="n">
        <v>0.00056101</v>
      </c>
      <c r="AV31" s="15" t="n">
        <v>0.0005553999999999999</v>
      </c>
      <c r="AW31" s="15" t="n">
        <v>0.0005498499999999999</v>
      </c>
      <c r="AX31" s="15" t="n">
        <v>0.00054435</v>
      </c>
      <c r="AY31" s="15" t="n">
        <v>0.00053891</v>
      </c>
      <c r="AZ31" s="15" t="n">
        <v>0.00053352</v>
      </c>
      <c r="BA31" s="15" t="n">
        <v>0.0005281799999999999</v>
      </c>
      <c r="BB31" s="15" t="n">
        <v>0.0005229</v>
      </c>
      <c r="BC31" s="15" t="n">
        <v>0.00051767</v>
      </c>
      <c r="BD31" s="15" t="n">
        <v>0.00051249</v>
      </c>
      <c r="BE31" s="15" t="n">
        <v>0.00050737</v>
      </c>
      <c r="BF31" s="15" t="n">
        <v>0.0005023</v>
      </c>
      <c r="BG31" s="15" t="n">
        <v>0.00049727</v>
      </c>
      <c r="BH31" s="15" t="n">
        <v>0.0004923</v>
      </c>
      <c r="BI31" s="15" t="n">
        <v>0.00048738</v>
      </c>
      <c r="BJ31" s="15" t="n">
        <v>0.0004825</v>
      </c>
      <c r="BK31" s="15" t="n">
        <v>0.00047768</v>
      </c>
      <c r="BL31" s="15" t="n">
        <v>0.0004729</v>
      </c>
      <c r="BM31" s="15" t="n">
        <v>0.00046817</v>
      </c>
      <c r="BN31" s="15" t="n">
        <v>0.00046349</v>
      </c>
      <c r="BO31" s="15" t="n">
        <v>0.00045886</v>
      </c>
      <c r="BP31" s="15" t="n">
        <v>0.00045427</v>
      </c>
      <c r="BQ31" s="15" t="n">
        <v>0.00044972</v>
      </c>
      <c r="BR31" s="15" t="n">
        <v>0.00044523</v>
      </c>
      <c r="BS31" s="15" t="n">
        <v>0.00044078</v>
      </c>
      <c r="BT31" s="15" t="n">
        <v>0.00043637</v>
      </c>
      <c r="BU31" s="15" t="n">
        <v>0.000432</v>
      </c>
      <c r="BV31" s="15" t="n">
        <v>0.00042768</v>
      </c>
      <c r="BW31" s="15" t="n">
        <v>0.00042341</v>
      </c>
      <c r="BX31" s="15" t="n">
        <v>0.00041917</v>
      </c>
    </row>
    <row r="32">
      <c r="A32" t="n">
        <v>49</v>
      </c>
      <c r="B32" s="15" t="n">
        <v>0.00093694</v>
      </c>
      <c r="C32" s="15" t="n">
        <v>0.00092481</v>
      </c>
      <c r="D32" s="15" t="n">
        <v>0.00091331</v>
      </c>
      <c r="E32" s="15" t="n">
        <v>0.00090239</v>
      </c>
      <c r="F32" s="15" t="n">
        <v>0.00089201</v>
      </c>
      <c r="G32" s="15" t="n">
        <v>0.00088213</v>
      </c>
      <c r="H32" s="15" t="n">
        <v>0.00087267</v>
      </c>
      <c r="I32" s="15" t="n">
        <v>0.00086358</v>
      </c>
      <c r="J32" s="15" t="n">
        <v>0.00085478</v>
      </c>
      <c r="K32" s="15" t="n">
        <v>0.00084619</v>
      </c>
      <c r="L32" s="15" t="n">
        <v>0.00083772</v>
      </c>
      <c r="M32" s="15" t="n">
        <v>0.00082935</v>
      </c>
      <c r="N32" s="15" t="n">
        <v>0.00082105</v>
      </c>
      <c r="O32" s="15" t="n">
        <v>0.00081284</v>
      </c>
      <c r="P32" s="15" t="n">
        <v>0.00080471</v>
      </c>
      <c r="Q32" s="15" t="n">
        <v>0.00079667</v>
      </c>
      <c r="R32" s="15" t="n">
        <v>0.0007887</v>
      </c>
      <c r="S32" s="15" t="n">
        <v>0.0007808099999999999</v>
      </c>
      <c r="T32" s="15" t="n">
        <v>0.00077301</v>
      </c>
      <c r="U32" s="15" t="n">
        <v>0.00076528</v>
      </c>
      <c r="V32" s="15" t="n">
        <v>0.00075762</v>
      </c>
      <c r="W32" s="15" t="n">
        <v>0.00075005</v>
      </c>
      <c r="X32" s="15" t="n">
        <v>0.00074255</v>
      </c>
      <c r="Y32" s="15" t="n">
        <v>0.00073512</v>
      </c>
      <c r="Z32" s="15" t="n">
        <v>0.00072777</v>
      </c>
      <c r="AA32" s="15" t="n">
        <v>0.00072049</v>
      </c>
      <c r="AB32" s="15" t="n">
        <v>0.00071329</v>
      </c>
      <c r="AC32" s="15" t="n">
        <v>0.00070615</v>
      </c>
      <c r="AD32" s="15" t="n">
        <v>0.00069909</v>
      </c>
      <c r="AE32" s="15" t="n">
        <v>0.0006921</v>
      </c>
      <c r="AF32" s="15" t="n">
        <v>0.00068518</v>
      </c>
      <c r="AG32" s="15" t="n">
        <v>0.00067833</v>
      </c>
      <c r="AH32" s="15" t="n">
        <v>0.00067155</v>
      </c>
      <c r="AI32" s="15" t="n">
        <v>0.00066483</v>
      </c>
      <c r="AJ32" s="15" t="n">
        <v>0.00065818</v>
      </c>
      <c r="AK32" s="15" t="n">
        <v>0.0006516</v>
      </c>
      <c r="AL32" s="15" t="n">
        <v>0.00064508</v>
      </c>
      <c r="AM32" s="15" t="n">
        <v>0.0006386299999999999</v>
      </c>
      <c r="AN32" s="15" t="n">
        <v>0.00063225</v>
      </c>
      <c r="AO32" s="15" t="n">
        <v>0.00062592</v>
      </c>
      <c r="AP32" s="15" t="n">
        <v>0.00061966</v>
      </c>
      <c r="AQ32" s="15" t="n">
        <v>0.00061347</v>
      </c>
      <c r="AR32" s="15" t="n">
        <v>0.00060733</v>
      </c>
      <c r="AS32" s="15" t="n">
        <v>0.0006012600000000001</v>
      </c>
      <c r="AT32" s="15" t="n">
        <v>0.00059525</v>
      </c>
      <c r="AU32" s="15" t="n">
        <v>0.00058929</v>
      </c>
      <c r="AV32" s="15" t="n">
        <v>0.0005834</v>
      </c>
      <c r="AW32" s="15" t="n">
        <v>0.00057757</v>
      </c>
      <c r="AX32" s="15" t="n">
        <v>0.00057179</v>
      </c>
      <c r="AY32" s="15" t="n">
        <v>0.00056607</v>
      </c>
      <c r="AZ32" s="15" t="n">
        <v>0.00056041</v>
      </c>
      <c r="BA32" s="15" t="n">
        <v>0.00055481</v>
      </c>
      <c r="BB32" s="15" t="n">
        <v>0.00054926</v>
      </c>
      <c r="BC32" s="15" t="n">
        <v>0.00054377</v>
      </c>
      <c r="BD32" s="15" t="n">
        <v>0.00053833</v>
      </c>
      <c r="BE32" s="15" t="n">
        <v>0.00053295</v>
      </c>
      <c r="BF32" s="15" t="n">
        <v>0.00052762</v>
      </c>
      <c r="BG32" s="15" t="n">
        <v>0.00052234</v>
      </c>
      <c r="BH32" s="15" t="n">
        <v>0.00051712</v>
      </c>
      <c r="BI32" s="15" t="n">
        <v>0.0005119499999999999</v>
      </c>
      <c r="BJ32" s="15" t="n">
        <v>0.00050683</v>
      </c>
      <c r="BK32" s="15" t="n">
        <v>0.00050176</v>
      </c>
      <c r="BL32" s="15" t="n">
        <v>0.00049674</v>
      </c>
      <c r="BM32" s="15" t="n">
        <v>0.00049177</v>
      </c>
      <c r="BN32" s="15" t="n">
        <v>0.00048686</v>
      </c>
      <c r="BO32" s="15" t="n">
        <v>0.00048199</v>
      </c>
      <c r="BP32" s="15" t="n">
        <v>0.00047717</v>
      </c>
      <c r="BQ32" s="15" t="n">
        <v>0.0004724</v>
      </c>
      <c r="BR32" s="15" t="n">
        <v>0.00046767</v>
      </c>
      <c r="BS32" s="15" t="n">
        <v>0.000463</v>
      </c>
      <c r="BT32" s="15" t="n">
        <v>0.00045837</v>
      </c>
      <c r="BU32" s="15" t="n">
        <v>0.00045378</v>
      </c>
      <c r="BV32" s="15" t="n">
        <v>0.00044924</v>
      </c>
      <c r="BW32" s="15" t="n">
        <v>0.00044475</v>
      </c>
      <c r="BX32" s="15" t="n">
        <v>0.0004403</v>
      </c>
    </row>
    <row r="33">
      <c r="A33" t="n">
        <v>50</v>
      </c>
      <c r="B33" s="15" t="n">
        <v>0.0009947199999999999</v>
      </c>
      <c r="C33" s="15" t="n">
        <v>0.00098152</v>
      </c>
      <c r="D33" s="15" t="n">
        <v>0.0009690499999999999</v>
      </c>
      <c r="E33" s="15" t="n">
        <v>0.00095726</v>
      </c>
      <c r="F33" s="15" t="n">
        <v>0.0009461</v>
      </c>
      <c r="G33" s="15" t="n">
        <v>0.0009355</v>
      </c>
      <c r="H33" s="15" t="n">
        <v>0.0009254000000000001</v>
      </c>
      <c r="I33" s="15" t="n">
        <v>0.00091572</v>
      </c>
      <c r="J33" s="15" t="n">
        <v>0.00090636</v>
      </c>
      <c r="K33" s="15" t="n">
        <v>0.00089725</v>
      </c>
      <c r="L33" s="15" t="n">
        <v>0.00088827</v>
      </c>
      <c r="M33" s="15" t="n">
        <v>0.00087939</v>
      </c>
      <c r="N33" s="15" t="n">
        <v>0.0008706</v>
      </c>
      <c r="O33" s="15" t="n">
        <v>0.00086189</v>
      </c>
      <c r="P33" s="15" t="n">
        <v>0.00085327</v>
      </c>
      <c r="Q33" s="15" t="n">
        <v>0.00084474</v>
      </c>
      <c r="R33" s="15" t="n">
        <v>0.00083629</v>
      </c>
      <c r="S33" s="15" t="n">
        <v>0.0008279300000000001</v>
      </c>
      <c r="T33" s="15" t="n">
        <v>0.00081965</v>
      </c>
      <c r="U33" s="15" t="n">
        <v>0.00081145</v>
      </c>
      <c r="V33" s="15" t="n">
        <v>0.00080334</v>
      </c>
      <c r="W33" s="15" t="n">
        <v>0.00079531</v>
      </c>
      <c r="X33" s="15" t="n">
        <v>0.00078735</v>
      </c>
      <c r="Y33" s="15" t="n">
        <v>0.00077948</v>
      </c>
      <c r="Z33" s="15" t="n">
        <v>0.00077168</v>
      </c>
      <c r="AA33" s="15" t="n">
        <v>0.00076397</v>
      </c>
      <c r="AB33" s="15" t="n">
        <v>0.00075633</v>
      </c>
      <c r="AC33" s="15" t="n">
        <v>0.00074876</v>
      </c>
      <c r="AD33" s="15" t="n">
        <v>0.00074128</v>
      </c>
      <c r="AE33" s="15" t="n">
        <v>0.00073386</v>
      </c>
      <c r="AF33" s="15" t="n">
        <v>0.00072653</v>
      </c>
      <c r="AG33" s="15" t="n">
        <v>0.00071926</v>
      </c>
      <c r="AH33" s="15" t="n">
        <v>0.00071207</v>
      </c>
      <c r="AI33" s="15" t="n">
        <v>0.00070495</v>
      </c>
      <c r="AJ33" s="15" t="n">
        <v>0.0006979</v>
      </c>
      <c r="AK33" s="15" t="n">
        <v>0.00069092</v>
      </c>
      <c r="AL33" s="15" t="n">
        <v>0.00068401</v>
      </c>
      <c r="AM33" s="15" t="n">
        <v>0.0006771700000000001</v>
      </c>
      <c r="AN33" s="15" t="n">
        <v>0.0006704</v>
      </c>
      <c r="AO33" s="15" t="n">
        <v>0.00066369</v>
      </c>
      <c r="AP33" s="15" t="n">
        <v>0.00065706</v>
      </c>
      <c r="AQ33" s="15" t="n">
        <v>0.00065049</v>
      </c>
      <c r="AR33" s="15" t="n">
        <v>0.0006439800000000001</v>
      </c>
      <c r="AS33" s="15" t="n">
        <v>0.00063754</v>
      </c>
      <c r="AT33" s="15" t="n">
        <v>0.00063117</v>
      </c>
      <c r="AU33" s="15" t="n">
        <v>0.00062485</v>
      </c>
      <c r="AV33" s="15" t="n">
        <v>0.00061861</v>
      </c>
      <c r="AW33" s="15" t="n">
        <v>0.00061242</v>
      </c>
      <c r="AX33" s="15" t="n">
        <v>0.0006063</v>
      </c>
      <c r="AY33" s="15" t="n">
        <v>0.00060023</v>
      </c>
      <c r="AZ33" s="15" t="n">
        <v>0.00059423</v>
      </c>
      <c r="BA33" s="15" t="n">
        <v>0.00058829</v>
      </c>
      <c r="BB33" s="15" t="n">
        <v>0.00058241</v>
      </c>
      <c r="BC33" s="15" t="n">
        <v>0.00057658</v>
      </c>
      <c r="BD33" s="15" t="n">
        <v>0.00057082</v>
      </c>
      <c r="BE33" s="15" t="n">
        <v>0.00056511</v>
      </c>
      <c r="BF33" s="15" t="n">
        <v>0.00055946</v>
      </c>
      <c r="BG33" s="15" t="n">
        <v>0.00055386</v>
      </c>
      <c r="BH33" s="15" t="n">
        <v>0.00054832</v>
      </c>
      <c r="BI33" s="15" t="n">
        <v>0.0005428399999999999</v>
      </c>
      <c r="BJ33" s="15" t="n">
        <v>0.00053741</v>
      </c>
      <c r="BK33" s="15" t="n">
        <v>0.00053204</v>
      </c>
      <c r="BL33" s="15" t="n">
        <v>0.0005267200000000001</v>
      </c>
      <c r="BM33" s="15" t="n">
        <v>0.00052145</v>
      </c>
      <c r="BN33" s="15" t="n">
        <v>0.0005162399999999999</v>
      </c>
      <c r="BO33" s="15" t="n">
        <v>0.00051107</v>
      </c>
      <c r="BP33" s="15" t="n">
        <v>0.00050596</v>
      </c>
      <c r="BQ33" s="15" t="n">
        <v>0.0005009</v>
      </c>
      <c r="BR33" s="15" t="n">
        <v>0.00049589</v>
      </c>
      <c r="BS33" s="15" t="n">
        <v>0.00049093</v>
      </c>
      <c r="BT33" s="15" t="n">
        <v>0.00048603</v>
      </c>
      <c r="BU33" s="15" t="n">
        <v>0.00048116</v>
      </c>
      <c r="BV33" s="15" t="n">
        <v>0.00047635</v>
      </c>
      <c r="BW33" s="15" t="n">
        <v>0.00047159</v>
      </c>
      <c r="BX33" s="15" t="n">
        <v>0.00046687</v>
      </c>
    </row>
    <row r="34">
      <c r="A34" t="n">
        <v>51</v>
      </c>
      <c r="B34" s="15" t="n">
        <v>0.00104571</v>
      </c>
      <c r="C34" s="15" t="n">
        <v>0.0010315</v>
      </c>
      <c r="D34" s="15" t="n">
        <v>0.00101812</v>
      </c>
      <c r="E34" s="15" t="n">
        <v>0.00100552</v>
      </c>
      <c r="F34" s="15" t="n">
        <v>0.0009936299999999999</v>
      </c>
      <c r="G34" s="15" t="n">
        <v>0.0009823799999999999</v>
      </c>
      <c r="H34" s="15" t="n">
        <v>0.0009717</v>
      </c>
      <c r="I34" s="15" t="n">
        <v>0.00096148</v>
      </c>
      <c r="J34" s="15" t="n">
        <v>0.00095164</v>
      </c>
      <c r="K34" s="15" t="n">
        <v>0.00094207</v>
      </c>
      <c r="L34" s="15" t="n">
        <v>0.00093265</v>
      </c>
      <c r="M34" s="15" t="n">
        <v>0.00092332</v>
      </c>
      <c r="N34" s="15" t="n">
        <v>0.00091409</v>
      </c>
      <c r="O34" s="15" t="n">
        <v>0.00090495</v>
      </c>
      <c r="P34" s="15" t="n">
        <v>0.0008959</v>
      </c>
      <c r="Q34" s="15" t="n">
        <v>0.00088694</v>
      </c>
      <c r="R34" s="15" t="n">
        <v>0.00087807</v>
      </c>
      <c r="S34" s="15" t="n">
        <v>0.00086929</v>
      </c>
      <c r="T34" s="15" t="n">
        <v>0.0008605900000000001</v>
      </c>
      <c r="U34" s="15" t="n">
        <v>0.00085199</v>
      </c>
      <c r="V34" s="15" t="n">
        <v>0.00084347</v>
      </c>
      <c r="W34" s="15" t="n">
        <v>0.00083503</v>
      </c>
      <c r="X34" s="15" t="n">
        <v>0.00082668</v>
      </c>
      <c r="Y34" s="15" t="n">
        <v>0.00081842</v>
      </c>
      <c r="Z34" s="15" t="n">
        <v>0.00081023</v>
      </c>
      <c r="AA34" s="15" t="n">
        <v>0.00080213</v>
      </c>
      <c r="AB34" s="15" t="n">
        <v>0.00079411</v>
      </c>
      <c r="AC34" s="15" t="n">
        <v>0.00078617</v>
      </c>
      <c r="AD34" s="15" t="n">
        <v>0.00077831</v>
      </c>
      <c r="AE34" s="15" t="n">
        <v>0.00077052</v>
      </c>
      <c r="AF34" s="15" t="n">
        <v>0.00076282</v>
      </c>
      <c r="AG34" s="15" t="n">
        <v>0.00075519</v>
      </c>
      <c r="AH34" s="15" t="n">
        <v>0.00074764</v>
      </c>
      <c r="AI34" s="15" t="n">
        <v>0.00074016</v>
      </c>
      <c r="AJ34" s="15" t="n">
        <v>0.0007327600000000001</v>
      </c>
      <c r="AK34" s="15" t="n">
        <v>0.00072543</v>
      </c>
      <c r="AL34" s="15" t="n">
        <v>0.00071818</v>
      </c>
      <c r="AM34" s="15" t="n">
        <v>0.000711</v>
      </c>
      <c r="AN34" s="15" t="n">
        <v>0.00070389</v>
      </c>
      <c r="AO34" s="15" t="n">
        <v>0.0006968500000000001</v>
      </c>
      <c r="AP34" s="15" t="n">
        <v>0.00068988</v>
      </c>
      <c r="AQ34" s="15" t="n">
        <v>0.00068298</v>
      </c>
      <c r="AR34" s="15" t="n">
        <v>0.00067615</v>
      </c>
      <c r="AS34" s="15" t="n">
        <v>0.00066939</v>
      </c>
      <c r="AT34" s="15" t="n">
        <v>0.0006627</v>
      </c>
      <c r="AU34" s="15" t="n">
        <v>0.00065607</v>
      </c>
      <c r="AV34" s="15" t="n">
        <v>0.00064951</v>
      </c>
      <c r="AW34" s="15" t="n">
        <v>0.00064301</v>
      </c>
      <c r="AX34" s="15" t="n">
        <v>0.00063658</v>
      </c>
      <c r="AY34" s="15" t="n">
        <v>0.00063022</v>
      </c>
      <c r="AZ34" s="15" t="n">
        <v>0.00062391</v>
      </c>
      <c r="BA34" s="15" t="n">
        <v>0.00061768</v>
      </c>
      <c r="BB34" s="15" t="n">
        <v>0.0006115</v>
      </c>
      <c r="BC34" s="15" t="n">
        <v>0.00060538</v>
      </c>
      <c r="BD34" s="15" t="n">
        <v>0.00059933</v>
      </c>
      <c r="BE34" s="15" t="n">
        <v>0.00059334</v>
      </c>
      <c r="BF34" s="15" t="n">
        <v>0.0005874</v>
      </c>
      <c r="BG34" s="15" t="n">
        <v>0.00058153</v>
      </c>
      <c r="BH34" s="15" t="n">
        <v>0.00057571</v>
      </c>
      <c r="BI34" s="15" t="n">
        <v>0.00056996</v>
      </c>
      <c r="BJ34" s="15" t="n">
        <v>0.00056426</v>
      </c>
      <c r="BK34" s="15" t="n">
        <v>0.00055861</v>
      </c>
      <c r="BL34" s="15" t="n">
        <v>0.00055303</v>
      </c>
      <c r="BM34" s="15" t="n">
        <v>0.0005475</v>
      </c>
      <c r="BN34" s="15" t="n">
        <v>0.00054202</v>
      </c>
      <c r="BO34" s="15" t="n">
        <v>0.0005366</v>
      </c>
      <c r="BP34" s="15" t="n">
        <v>0.00053124</v>
      </c>
      <c r="BQ34" s="15" t="n">
        <v>0.00052592</v>
      </c>
      <c r="BR34" s="15" t="n">
        <v>0.00052067</v>
      </c>
      <c r="BS34" s="15" t="n">
        <v>0.00051546</v>
      </c>
      <c r="BT34" s="15" t="n">
        <v>0.0005103</v>
      </c>
      <c r="BU34" s="15" t="n">
        <v>0.0005052</v>
      </c>
      <c r="BV34" s="15" t="n">
        <v>0.00050015</v>
      </c>
      <c r="BW34" s="15" t="n">
        <v>0.00049515</v>
      </c>
      <c r="BX34" s="15" t="n">
        <v>0.0004902</v>
      </c>
    </row>
    <row r="35">
      <c r="A35" t="n">
        <v>52</v>
      </c>
      <c r="B35" s="15" t="n">
        <v>0.00107935</v>
      </c>
      <c r="C35" s="15" t="n">
        <v>0.00106435</v>
      </c>
      <c r="D35" s="15" t="n">
        <v>0.00105027</v>
      </c>
      <c r="E35" s="15" t="n">
        <v>0.00103705</v>
      </c>
      <c r="F35" s="15" t="n">
        <v>0.00102463</v>
      </c>
      <c r="G35" s="15" t="n">
        <v>0.00101291</v>
      </c>
      <c r="H35" s="15" t="n">
        <v>0.00100182</v>
      </c>
      <c r="I35" s="15" t="n">
        <v>0.00099124</v>
      </c>
      <c r="J35" s="15" t="n">
        <v>0.0009810800000000001</v>
      </c>
      <c r="K35" s="15" t="n">
        <v>0.0009712</v>
      </c>
      <c r="L35" s="15" t="n">
        <v>0.00096149</v>
      </c>
      <c r="M35" s="15" t="n">
        <v>0.00095187</v>
      </c>
      <c r="N35" s="15" t="n">
        <v>0.00094235</v>
      </c>
      <c r="O35" s="15" t="n">
        <v>0.00093293</v>
      </c>
      <c r="P35" s="15" t="n">
        <v>0.0009236</v>
      </c>
      <c r="Q35" s="15" t="n">
        <v>0.00091437</v>
      </c>
      <c r="R35" s="15" t="n">
        <v>0.00090522</v>
      </c>
      <c r="S35" s="15" t="n">
        <v>0.00089617</v>
      </c>
      <c r="T35" s="15" t="n">
        <v>0.00088721</v>
      </c>
      <c r="U35" s="15" t="n">
        <v>0.00087834</v>
      </c>
      <c r="V35" s="15" t="n">
        <v>0.00086955</v>
      </c>
      <c r="W35" s="15" t="n">
        <v>0.00086086</v>
      </c>
      <c r="X35" s="15" t="n">
        <v>0.00085225</v>
      </c>
      <c r="Y35" s="15" t="n">
        <v>0.00084373</v>
      </c>
      <c r="Z35" s="15" t="n">
        <v>0.00083529</v>
      </c>
      <c r="AA35" s="15" t="n">
        <v>0.00082694</v>
      </c>
      <c r="AB35" s="15" t="n">
        <v>0.00081867</v>
      </c>
      <c r="AC35" s="15" t="n">
        <v>0.00081048</v>
      </c>
      <c r="AD35" s="15" t="n">
        <v>0.00080238</v>
      </c>
      <c r="AE35" s="15" t="n">
        <v>0.00079435</v>
      </c>
      <c r="AF35" s="15" t="n">
        <v>0.00078641</v>
      </c>
      <c r="AG35" s="15" t="n">
        <v>0.00077854</v>
      </c>
      <c r="AH35" s="15" t="n">
        <v>0.00077076</v>
      </c>
      <c r="AI35" s="15" t="n">
        <v>0.00076305</v>
      </c>
      <c r="AJ35" s="15" t="n">
        <v>0.00075542</v>
      </c>
      <c r="AK35" s="15" t="n">
        <v>0.00074787</v>
      </c>
      <c r="AL35" s="15" t="n">
        <v>0.00074039</v>
      </c>
      <c r="AM35" s="15" t="n">
        <v>0.00073298</v>
      </c>
      <c r="AN35" s="15" t="n">
        <v>0.00072565</v>
      </c>
      <c r="AO35" s="15" t="n">
        <v>0.0007184</v>
      </c>
      <c r="AP35" s="15" t="n">
        <v>0.00071121</v>
      </c>
      <c r="AQ35" s="15" t="n">
        <v>0.0007041</v>
      </c>
      <c r="AR35" s="15" t="n">
        <v>0.00069706</v>
      </c>
      <c r="AS35" s="15" t="n">
        <v>0.00069009</v>
      </c>
      <c r="AT35" s="15" t="n">
        <v>0.00068319</v>
      </c>
      <c r="AU35" s="15" t="n">
        <v>0.00067636</v>
      </c>
      <c r="AV35" s="15" t="n">
        <v>0.00066959</v>
      </c>
      <c r="AW35" s="15" t="n">
        <v>0.0006629</v>
      </c>
      <c r="AX35" s="15" t="n">
        <v>0.00065627</v>
      </c>
      <c r="AY35" s="15" t="n">
        <v>0.00064971</v>
      </c>
      <c r="AZ35" s="15" t="n">
        <v>0.00064321</v>
      </c>
      <c r="BA35" s="15" t="n">
        <v>0.00063678</v>
      </c>
      <c r="BB35" s="15" t="n">
        <v>0.00063041</v>
      </c>
      <c r="BC35" s="15" t="n">
        <v>0.0006241</v>
      </c>
      <c r="BD35" s="15" t="n">
        <v>0.00061786</v>
      </c>
      <c r="BE35" s="15" t="n">
        <v>0.00061168</v>
      </c>
      <c r="BF35" s="15" t="n">
        <v>0.00060557</v>
      </c>
      <c r="BG35" s="15" t="n">
        <v>0.00059951</v>
      </c>
      <c r="BH35" s="15" t="n">
        <v>0.0005935200000000001</v>
      </c>
      <c r="BI35" s="15" t="n">
        <v>0.00058758</v>
      </c>
      <c r="BJ35" s="15" t="n">
        <v>0.00058171</v>
      </c>
      <c r="BK35" s="15" t="n">
        <v>0.00057589</v>
      </c>
      <c r="BL35" s="15" t="n">
        <v>0.00057013</v>
      </c>
      <c r="BM35" s="15" t="n">
        <v>0.00056443</v>
      </c>
      <c r="BN35" s="15" t="n">
        <v>0.00055878</v>
      </c>
      <c r="BO35" s="15" t="n">
        <v>0.0005532</v>
      </c>
      <c r="BP35" s="15" t="n">
        <v>0.0005476600000000001</v>
      </c>
      <c r="BQ35" s="15" t="n">
        <v>0.00054219</v>
      </c>
      <c r="BR35" s="15" t="n">
        <v>0.00053677</v>
      </c>
      <c r="BS35" s="15" t="n">
        <v>0.0005314</v>
      </c>
      <c r="BT35" s="15" t="n">
        <v>0.00052608</v>
      </c>
      <c r="BU35" s="15" t="n">
        <v>0.00052082</v>
      </c>
      <c r="BV35" s="15" t="n">
        <v>0.0005156200000000001</v>
      </c>
      <c r="BW35" s="15" t="n">
        <v>0.00051046</v>
      </c>
      <c r="BX35" s="15" t="n">
        <v>0.00050535</v>
      </c>
    </row>
    <row r="36">
      <c r="A36" t="n">
        <v>53</v>
      </c>
      <c r="B36" s="15" t="n">
        <v>0.00110183</v>
      </c>
      <c r="C36" s="15" t="n">
        <v>0.00108618</v>
      </c>
      <c r="D36" s="15" t="n">
        <v>0.00107155</v>
      </c>
      <c r="E36" s="15" t="n">
        <v>0.00105785</v>
      </c>
      <c r="F36" s="15" t="n">
        <v>0.00104502</v>
      </c>
      <c r="G36" s="15" t="n">
        <v>0.00103296</v>
      </c>
      <c r="H36" s="15" t="n">
        <v>0.00102157</v>
      </c>
      <c r="I36" s="15" t="n">
        <v>0.00101074</v>
      </c>
      <c r="J36" s="15" t="n">
        <v>0.00100036</v>
      </c>
      <c r="K36" s="15" t="n">
        <v>0.0009902800000000001</v>
      </c>
      <c r="L36" s="15" t="n">
        <v>0.0009803800000000001</v>
      </c>
      <c r="M36" s="15" t="n">
        <v>0.00097057</v>
      </c>
      <c r="N36" s="15" t="n">
        <v>0.00096087</v>
      </c>
      <c r="O36" s="15" t="n">
        <v>0.00095126</v>
      </c>
      <c r="P36" s="15" t="n">
        <v>0.00094175</v>
      </c>
      <c r="Q36" s="15" t="n">
        <v>0.00093233</v>
      </c>
      <c r="R36" s="15" t="n">
        <v>0.00092301</v>
      </c>
      <c r="S36" s="15" t="n">
        <v>0.00091378</v>
      </c>
      <c r="T36" s="15" t="n">
        <v>0.00090464</v>
      </c>
      <c r="U36" s="15" t="n">
        <v>0.00089559</v>
      </c>
      <c r="V36" s="15" t="n">
        <v>0.00088664</v>
      </c>
      <c r="W36" s="15" t="n">
        <v>0.00087777</v>
      </c>
      <c r="X36" s="15" t="n">
        <v>0.00086899</v>
      </c>
      <c r="Y36" s="15" t="n">
        <v>0.0008603</v>
      </c>
      <c r="Z36" s="15" t="n">
        <v>0.0008517</v>
      </c>
      <c r="AA36" s="15" t="n">
        <v>0.00084318</v>
      </c>
      <c r="AB36" s="15" t="n">
        <v>0.00083475</v>
      </c>
      <c r="AC36" s="15" t="n">
        <v>0.0008264</v>
      </c>
      <c r="AD36" s="15" t="n">
        <v>0.00081814</v>
      </c>
      <c r="AE36" s="15" t="n">
        <v>0.00080996</v>
      </c>
      <c r="AF36" s="15" t="n">
        <v>0.0008018600000000001</v>
      </c>
      <c r="AG36" s="15" t="n">
        <v>0.00079384</v>
      </c>
      <c r="AH36" s="15" t="n">
        <v>0.0007859</v>
      </c>
      <c r="AI36" s="15" t="n">
        <v>0.00077804</v>
      </c>
      <c r="AJ36" s="15" t="n">
        <v>0.00077026</v>
      </c>
      <c r="AK36" s="15" t="n">
        <v>0.00076256</v>
      </c>
      <c r="AL36" s="15" t="n">
        <v>0.00075493</v>
      </c>
      <c r="AM36" s="15" t="n">
        <v>0.00074738</v>
      </c>
      <c r="AN36" s="15" t="n">
        <v>0.00073991</v>
      </c>
      <c r="AO36" s="15" t="n">
        <v>0.00073251</v>
      </c>
      <c r="AP36" s="15" t="n">
        <v>0.00072519</v>
      </c>
      <c r="AQ36" s="15" t="n">
        <v>0.00071793</v>
      </c>
      <c r="AR36" s="15" t="n">
        <v>0.00071075</v>
      </c>
      <c r="AS36" s="15" t="n">
        <v>0.00070365</v>
      </c>
      <c r="AT36" s="15" t="n">
        <v>0.00069661</v>
      </c>
      <c r="AU36" s="15" t="n">
        <v>0.00068964</v>
      </c>
      <c r="AV36" s="15" t="n">
        <v>0.00068275</v>
      </c>
      <c r="AW36" s="15" t="n">
        <v>0.00067592</v>
      </c>
      <c r="AX36" s="15" t="n">
        <v>0.00066916</v>
      </c>
      <c r="AY36" s="15" t="n">
        <v>0.00066247</v>
      </c>
      <c r="AZ36" s="15" t="n">
        <v>0.00065584</v>
      </c>
      <c r="BA36" s="15" t="n">
        <v>0.00064929</v>
      </c>
      <c r="BB36" s="15" t="n">
        <v>0.00064279</v>
      </c>
      <c r="BC36" s="15" t="n">
        <v>0.00063637</v>
      </c>
      <c r="BD36" s="15" t="n">
        <v>0.00063</v>
      </c>
      <c r="BE36" s="15" t="n">
        <v>0.0006237</v>
      </c>
      <c r="BF36" s="15" t="n">
        <v>0.00061746</v>
      </c>
      <c r="BG36" s="15" t="n">
        <v>0.00061129</v>
      </c>
      <c r="BH36" s="15" t="n">
        <v>0.00060518</v>
      </c>
      <c r="BI36" s="15" t="n">
        <v>0.00059913</v>
      </c>
      <c r="BJ36" s="15" t="n">
        <v>0.00059313</v>
      </c>
      <c r="BK36" s="15" t="n">
        <v>0.0005872</v>
      </c>
      <c r="BL36" s="15" t="n">
        <v>0.00058133</v>
      </c>
      <c r="BM36" s="15" t="n">
        <v>0.00057552</v>
      </c>
      <c r="BN36" s="15" t="n">
        <v>0.00056976</v>
      </c>
      <c r="BO36" s="15" t="n">
        <v>0.00056406</v>
      </c>
      <c r="BP36" s="15" t="n">
        <v>0.00055842</v>
      </c>
      <c r="BQ36" s="15" t="n">
        <v>0.00055284</v>
      </c>
      <c r="BR36" s="15" t="n">
        <v>0.00054731</v>
      </c>
      <c r="BS36" s="15" t="n">
        <v>0.00054184</v>
      </c>
      <c r="BT36" s="15" t="n">
        <v>0.00053642</v>
      </c>
      <c r="BU36" s="15" t="n">
        <v>0.00053106</v>
      </c>
      <c r="BV36" s="15" t="n">
        <v>0.00052574</v>
      </c>
      <c r="BW36" s="15" t="n">
        <v>0.00052049</v>
      </c>
      <c r="BX36" s="15" t="n">
        <v>0.00051528</v>
      </c>
    </row>
    <row r="37">
      <c r="A37" t="n">
        <v>54</v>
      </c>
      <c r="B37" s="15" t="n">
        <v>0.0011528</v>
      </c>
      <c r="C37" s="15" t="n">
        <v>0.00113612</v>
      </c>
      <c r="D37" s="15" t="n">
        <v>0.00112056</v>
      </c>
      <c r="E37" s="15" t="n">
        <v>0.00110603</v>
      </c>
      <c r="F37" s="15" t="n">
        <v>0.00109246</v>
      </c>
      <c r="G37" s="15" t="n">
        <v>0.00107975</v>
      </c>
      <c r="H37" s="15" t="n">
        <v>0.00106777</v>
      </c>
      <c r="I37" s="15" t="n">
        <v>0.00105641</v>
      </c>
      <c r="J37" s="15" t="n">
        <v>0.00104554</v>
      </c>
      <c r="K37" s="15" t="n">
        <v>0.001035</v>
      </c>
      <c r="L37" s="15" t="n">
        <v>0.00102465</v>
      </c>
      <c r="M37" s="15" t="n">
        <v>0.0010144</v>
      </c>
      <c r="N37" s="15" t="n">
        <v>0.00100426</v>
      </c>
      <c r="O37" s="15" t="n">
        <v>0.0009942200000000001</v>
      </c>
      <c r="P37" s="15" t="n">
        <v>0.0009842799999999999</v>
      </c>
      <c r="Q37" s="15" t="n">
        <v>0.00097443</v>
      </c>
      <c r="R37" s="15" t="n">
        <v>0.00096469</v>
      </c>
      <c r="S37" s="15" t="n">
        <v>0.00095504</v>
      </c>
      <c r="T37" s="15" t="n">
        <v>0.00094549</v>
      </c>
      <c r="U37" s="15" t="n">
        <v>0.00093604</v>
      </c>
      <c r="V37" s="15" t="n">
        <v>0.00092668</v>
      </c>
      <c r="W37" s="15" t="n">
        <v>0.00091741</v>
      </c>
      <c r="X37" s="15" t="n">
        <v>0.00090823</v>
      </c>
      <c r="Y37" s="15" t="n">
        <v>0.00089915</v>
      </c>
      <c r="Z37" s="15" t="n">
        <v>0.00089016</v>
      </c>
      <c r="AA37" s="15" t="n">
        <v>0.00088126</v>
      </c>
      <c r="AB37" s="15" t="n">
        <v>0.00087245</v>
      </c>
      <c r="AC37" s="15" t="n">
        <v>0.00086372</v>
      </c>
      <c r="AD37" s="15" t="n">
        <v>0.00085509</v>
      </c>
      <c r="AE37" s="15" t="n">
        <v>0.00084653</v>
      </c>
      <c r="AF37" s="15" t="n">
        <v>0.00083807</v>
      </c>
      <c r="AG37" s="15" t="n">
        <v>0.00082969</v>
      </c>
      <c r="AH37" s="15" t="n">
        <v>0.00082139</v>
      </c>
      <c r="AI37" s="15" t="n">
        <v>0.00081318</v>
      </c>
      <c r="AJ37" s="15" t="n">
        <v>0.00080505</v>
      </c>
      <c r="AK37" s="15" t="n">
        <v>0.000797</v>
      </c>
      <c r="AL37" s="15" t="n">
        <v>0.00078903</v>
      </c>
      <c r="AM37" s="15" t="n">
        <v>0.00078113</v>
      </c>
      <c r="AN37" s="15" t="n">
        <v>0.00077332</v>
      </c>
      <c r="AO37" s="15" t="n">
        <v>0.00076559</v>
      </c>
      <c r="AP37" s="15" t="n">
        <v>0.00075793</v>
      </c>
      <c r="AQ37" s="15" t="n">
        <v>0.00075036</v>
      </c>
      <c r="AR37" s="15" t="n">
        <v>0.00074285</v>
      </c>
      <c r="AS37" s="15" t="n">
        <v>0.00073542</v>
      </c>
      <c r="AT37" s="15" t="n">
        <v>0.00072807</v>
      </c>
      <c r="AU37" s="15" t="n">
        <v>0.00072079</v>
      </c>
      <c r="AV37" s="15" t="n">
        <v>0.00071358</v>
      </c>
      <c r="AW37" s="15" t="n">
        <v>0.00070644</v>
      </c>
      <c r="AX37" s="15" t="n">
        <v>0.00069938</v>
      </c>
      <c r="AY37" s="15" t="n">
        <v>0.00069239</v>
      </c>
      <c r="AZ37" s="15" t="n">
        <v>0.00068546</v>
      </c>
      <c r="BA37" s="15" t="n">
        <v>0.00067861</v>
      </c>
      <c r="BB37" s="15" t="n">
        <v>0.0006718199999999999</v>
      </c>
      <c r="BC37" s="15" t="n">
        <v>0.0006651</v>
      </c>
      <c r="BD37" s="15" t="n">
        <v>0.00065845</v>
      </c>
      <c r="BE37" s="15" t="n">
        <v>0.00065187</v>
      </c>
      <c r="BF37" s="15" t="n">
        <v>0.00064535</v>
      </c>
      <c r="BG37" s="15" t="n">
        <v>0.0006389</v>
      </c>
      <c r="BH37" s="15" t="n">
        <v>0.00063251</v>
      </c>
      <c r="BI37" s="15" t="n">
        <v>0.0006261800000000001</v>
      </c>
      <c r="BJ37" s="15" t="n">
        <v>0.00061992</v>
      </c>
      <c r="BK37" s="15" t="n">
        <v>0.00061372</v>
      </c>
      <c r="BL37" s="15" t="n">
        <v>0.00060758</v>
      </c>
      <c r="BM37" s="15" t="n">
        <v>0.00060151</v>
      </c>
      <c r="BN37" s="15" t="n">
        <v>0.00059549</v>
      </c>
      <c r="BO37" s="15" t="n">
        <v>0.0005895400000000001</v>
      </c>
      <c r="BP37" s="15" t="n">
        <v>0.00058364</v>
      </c>
      <c r="BQ37" s="15" t="n">
        <v>0.00057781</v>
      </c>
      <c r="BR37" s="15" t="n">
        <v>0.00057203</v>
      </c>
      <c r="BS37" s="15" t="n">
        <v>0.00056631</v>
      </c>
      <c r="BT37" s="15" t="n">
        <v>0.0005606400000000001</v>
      </c>
      <c r="BU37" s="15" t="n">
        <v>0.00055504</v>
      </c>
      <c r="BV37" s="15" t="n">
        <v>0.00054949</v>
      </c>
      <c r="BW37" s="15" t="n">
        <v>0.0005439899999999999</v>
      </c>
      <c r="BX37" s="15" t="n">
        <v>0.0005385500000000001</v>
      </c>
    </row>
    <row r="38">
      <c r="A38" t="n">
        <v>55</v>
      </c>
      <c r="B38" s="15" t="n">
        <v>0.0012496</v>
      </c>
      <c r="C38" s="15" t="n">
        <v>0.00123123</v>
      </c>
      <c r="D38" s="15" t="n">
        <v>0.00121413</v>
      </c>
      <c r="E38" s="15" t="n">
        <v>0.0011982</v>
      </c>
      <c r="F38" s="15" t="n">
        <v>0.00118336</v>
      </c>
      <c r="G38" s="15" t="n">
        <v>0.00116948</v>
      </c>
      <c r="H38" s="15" t="n">
        <v>0.00115645</v>
      </c>
      <c r="I38" s="15" t="n">
        <v>0.00114411</v>
      </c>
      <c r="J38" s="15" t="n">
        <v>0.00113231</v>
      </c>
      <c r="K38" s="15" t="n">
        <v>0.0011209</v>
      </c>
      <c r="L38" s="15" t="n">
        <v>0.00110969</v>
      </c>
      <c r="M38" s="15" t="n">
        <v>0.00109859</v>
      </c>
      <c r="N38" s="15" t="n">
        <v>0.00108761</v>
      </c>
      <c r="O38" s="15" t="n">
        <v>0.00107673</v>
      </c>
      <c r="P38" s="15" t="n">
        <v>0.00106596</v>
      </c>
      <c r="Q38" s="15" t="n">
        <v>0.0010553</v>
      </c>
      <c r="R38" s="15" t="n">
        <v>0.00104475</v>
      </c>
      <c r="S38" s="15" t="n">
        <v>0.0010343</v>
      </c>
      <c r="T38" s="15" t="n">
        <v>0.00102396</v>
      </c>
      <c r="U38" s="15" t="n">
        <v>0.00101372</v>
      </c>
      <c r="V38" s="15" t="n">
        <v>0.00100358</v>
      </c>
      <c r="W38" s="15" t="n">
        <v>0.0009935499999999999</v>
      </c>
      <c r="X38" s="15" t="n">
        <v>0.00098361</v>
      </c>
      <c r="Y38" s="15" t="n">
        <v>0.00097377</v>
      </c>
      <c r="Z38" s="15" t="n">
        <v>0.00096404</v>
      </c>
      <c r="AA38" s="15" t="n">
        <v>0.0009544</v>
      </c>
      <c r="AB38" s="15" t="n">
        <v>0.00094485</v>
      </c>
      <c r="AC38" s="15" t="n">
        <v>0.0009354</v>
      </c>
      <c r="AD38" s="15" t="n">
        <v>0.00092605</v>
      </c>
      <c r="AE38" s="15" t="n">
        <v>0.00091679</v>
      </c>
      <c r="AF38" s="15" t="n">
        <v>0.00090762</v>
      </c>
      <c r="AG38" s="15" t="n">
        <v>0.00089855</v>
      </c>
      <c r="AH38" s="15" t="n">
        <v>0.00088956</v>
      </c>
      <c r="AI38" s="15" t="n">
        <v>0.00088066</v>
      </c>
      <c r="AJ38" s="15" t="n">
        <v>0.00087186</v>
      </c>
      <c r="AK38" s="15" t="n">
        <v>0.00086314</v>
      </c>
      <c r="AL38" s="15" t="n">
        <v>0.0008545099999999999</v>
      </c>
      <c r="AM38" s="15" t="n">
        <v>0.00084596</v>
      </c>
      <c r="AN38" s="15" t="n">
        <v>0.0008375</v>
      </c>
      <c r="AO38" s="15" t="n">
        <v>0.00082913</v>
      </c>
      <c r="AP38" s="15" t="n">
        <v>0.00082084</v>
      </c>
      <c r="AQ38" s="15" t="n">
        <v>0.0008126299999999999</v>
      </c>
      <c r="AR38" s="15" t="n">
        <v>0.0008045</v>
      </c>
      <c r="AS38" s="15" t="n">
        <v>0.00079646</v>
      </c>
      <c r="AT38" s="15" t="n">
        <v>0.00078849</v>
      </c>
      <c r="AU38" s="15" t="n">
        <v>0.00078061</v>
      </c>
      <c r="AV38" s="15" t="n">
        <v>0.0007728</v>
      </c>
      <c r="AW38" s="15" t="n">
        <v>0.00076507</v>
      </c>
      <c r="AX38" s="15" t="n">
        <v>0.00075742</v>
      </c>
      <c r="AY38" s="15" t="n">
        <v>0.00074985</v>
      </c>
      <c r="AZ38" s="15" t="n">
        <v>0.00074235</v>
      </c>
      <c r="BA38" s="15" t="n">
        <v>0.00073493</v>
      </c>
      <c r="BB38" s="15" t="n">
        <v>0.00072758</v>
      </c>
      <c r="BC38" s="15" t="n">
        <v>0.0007203</v>
      </c>
      <c r="BD38" s="15" t="n">
        <v>0.0007131</v>
      </c>
      <c r="BE38" s="15" t="n">
        <v>0.00070597</v>
      </c>
      <c r="BF38" s="15" t="n">
        <v>0.00069891</v>
      </c>
      <c r="BG38" s="15" t="n">
        <v>0.0006919199999999999</v>
      </c>
      <c r="BH38" s="15" t="n">
        <v>0.000685</v>
      </c>
      <c r="BI38" s="15" t="n">
        <v>0.00067815</v>
      </c>
      <c r="BJ38" s="15" t="n">
        <v>0.00067137</v>
      </c>
      <c r="BK38" s="15" t="n">
        <v>0.00066465</v>
      </c>
      <c r="BL38" s="15" t="n">
        <v>0.00065801</v>
      </c>
      <c r="BM38" s="15" t="n">
        <v>0.00065143</v>
      </c>
      <c r="BN38" s="15" t="n">
        <v>0.0006449099999999999</v>
      </c>
      <c r="BO38" s="15" t="n">
        <v>0.00063846</v>
      </c>
      <c r="BP38" s="15" t="n">
        <v>0.00063208</v>
      </c>
      <c r="BQ38" s="15" t="n">
        <v>0.0006257600000000001</v>
      </c>
      <c r="BR38" s="15" t="n">
        <v>0.0006195</v>
      </c>
      <c r="BS38" s="15" t="n">
        <v>0.00061331</v>
      </c>
      <c r="BT38" s="15" t="n">
        <v>0.00060717</v>
      </c>
      <c r="BU38" s="15" t="n">
        <v>0.0006011</v>
      </c>
      <c r="BV38" s="15" t="n">
        <v>0.0005950900000000001</v>
      </c>
      <c r="BW38" s="15" t="n">
        <v>0.00058914</v>
      </c>
      <c r="BX38" s="15" t="n">
        <v>0.00058325</v>
      </c>
    </row>
    <row r="39">
      <c r="A39" t="n">
        <v>56</v>
      </c>
      <c r="B39" s="15" t="n">
        <v>0.00138558</v>
      </c>
      <c r="C39" s="15" t="n">
        <v>0.00136495</v>
      </c>
      <c r="D39" s="15" t="n">
        <v>0.00134577</v>
      </c>
      <c r="E39" s="15" t="n">
        <v>0.00132796</v>
      </c>
      <c r="F39" s="15" t="n">
        <v>0.00131138</v>
      </c>
      <c r="G39" s="15" t="n">
        <v>0.00129591</v>
      </c>
      <c r="H39" s="15" t="n">
        <v>0.0012814</v>
      </c>
      <c r="I39" s="15" t="n">
        <v>0.00126769</v>
      </c>
      <c r="J39" s="15" t="n">
        <v>0.00125461</v>
      </c>
      <c r="K39" s="15" t="n">
        <v>0.00124196</v>
      </c>
      <c r="L39" s="15" t="n">
        <v>0.00122954</v>
      </c>
      <c r="M39" s="15" t="n">
        <v>0.00121724</v>
      </c>
      <c r="N39" s="15" t="n">
        <v>0.00120507</v>
      </c>
      <c r="O39" s="15" t="n">
        <v>0.00119302</v>
      </c>
      <c r="P39" s="15" t="n">
        <v>0.00118109</v>
      </c>
      <c r="Q39" s="15" t="n">
        <v>0.00116928</v>
      </c>
      <c r="R39" s="15" t="n">
        <v>0.00115758</v>
      </c>
      <c r="S39" s="15" t="n">
        <v>0.00114601</v>
      </c>
      <c r="T39" s="15" t="n">
        <v>0.00113455</v>
      </c>
      <c r="U39" s="15" t="n">
        <v>0.0011232</v>
      </c>
      <c r="V39" s="15" t="n">
        <v>0.00111197</v>
      </c>
      <c r="W39" s="15" t="n">
        <v>0.00110085</v>
      </c>
      <c r="X39" s="15" t="n">
        <v>0.00108984</v>
      </c>
      <c r="Y39" s="15" t="n">
        <v>0.00107894</v>
      </c>
      <c r="Z39" s="15" t="n">
        <v>0.00106816</v>
      </c>
      <c r="AA39" s="15" t="n">
        <v>0.00105747</v>
      </c>
      <c r="AB39" s="15" t="n">
        <v>0.0010469</v>
      </c>
      <c r="AC39" s="15" t="n">
        <v>0.00103643</v>
      </c>
      <c r="AD39" s="15" t="n">
        <v>0.00102607</v>
      </c>
      <c r="AE39" s="15" t="n">
        <v>0.0010158</v>
      </c>
      <c r="AF39" s="15" t="n">
        <v>0.00100565</v>
      </c>
      <c r="AG39" s="15" t="n">
        <v>0.00099559</v>
      </c>
      <c r="AH39" s="15" t="n">
        <v>0.0009856299999999999</v>
      </c>
      <c r="AI39" s="15" t="n">
        <v>0.00097578</v>
      </c>
      <c r="AJ39" s="15" t="n">
        <v>0.0009660200000000001</v>
      </c>
      <c r="AK39" s="15" t="n">
        <v>0.00095636</v>
      </c>
      <c r="AL39" s="15" t="n">
        <v>0.0009468</v>
      </c>
      <c r="AM39" s="15" t="n">
        <v>0.00093733</v>
      </c>
      <c r="AN39" s="15" t="n">
        <v>0.00092796</v>
      </c>
      <c r="AO39" s="15" t="n">
        <v>0.00091868</v>
      </c>
      <c r="AP39" s="15" t="n">
        <v>0.00090949</v>
      </c>
      <c r="AQ39" s="15" t="n">
        <v>0.00090039</v>
      </c>
      <c r="AR39" s="15" t="n">
        <v>0.00089139</v>
      </c>
      <c r="AS39" s="15" t="n">
        <v>0.00088248</v>
      </c>
      <c r="AT39" s="15" t="n">
        <v>0.00087365</v>
      </c>
      <c r="AU39" s="15" t="n">
        <v>0.00086492</v>
      </c>
      <c r="AV39" s="15" t="n">
        <v>0.00085627</v>
      </c>
      <c r="AW39" s="15" t="n">
        <v>0.0008477</v>
      </c>
      <c r="AX39" s="15" t="n">
        <v>0.0008392300000000001</v>
      </c>
      <c r="AY39" s="15" t="n">
        <v>0.00083083</v>
      </c>
      <c r="AZ39" s="15" t="n">
        <v>0.00082253</v>
      </c>
      <c r="BA39" s="15" t="n">
        <v>0.0008143</v>
      </c>
      <c r="BB39" s="15" t="n">
        <v>0.00080616</v>
      </c>
      <c r="BC39" s="15" t="n">
        <v>0.0007981</v>
      </c>
      <c r="BD39" s="15" t="n">
        <v>0.00079011</v>
      </c>
      <c r="BE39" s="15" t="n">
        <v>0.00078221</v>
      </c>
      <c r="BF39" s="15" t="n">
        <v>0.00077439</v>
      </c>
      <c r="BG39" s="15" t="n">
        <v>0.00076665</v>
      </c>
      <c r="BH39" s="15" t="n">
        <v>0.00075898</v>
      </c>
      <c r="BI39" s="15" t="n">
        <v>0.00075139</v>
      </c>
      <c r="BJ39" s="15" t="n">
        <v>0.00074388</v>
      </c>
      <c r="BK39" s="15" t="n">
        <v>0.00073644</v>
      </c>
      <c r="BL39" s="15" t="n">
        <v>0.00072907</v>
      </c>
      <c r="BM39" s="15" t="n">
        <v>0.00072178</v>
      </c>
      <c r="BN39" s="15" t="n">
        <v>0.00071457</v>
      </c>
      <c r="BO39" s="15" t="n">
        <v>0.0007074200000000001</v>
      </c>
      <c r="BP39" s="15" t="n">
        <v>0.00070035</v>
      </c>
      <c r="BQ39" s="15" t="n">
        <v>0.00069334</v>
      </c>
      <c r="BR39" s="15" t="n">
        <v>0.00068641</v>
      </c>
      <c r="BS39" s="15" t="n">
        <v>0.00067954</v>
      </c>
      <c r="BT39" s="15" t="n">
        <v>0.00067275</v>
      </c>
      <c r="BU39" s="15" t="n">
        <v>0.00066602</v>
      </c>
      <c r="BV39" s="15" t="n">
        <v>0.00065936</v>
      </c>
      <c r="BW39" s="15" t="n">
        <v>0.00065277</v>
      </c>
      <c r="BX39" s="15" t="n">
        <v>0.00064624</v>
      </c>
    </row>
    <row r="40">
      <c r="A40" t="n">
        <v>57</v>
      </c>
      <c r="B40" s="15" t="n">
        <v>0.00152499</v>
      </c>
      <c r="C40" s="15" t="n">
        <v>0.00150207</v>
      </c>
      <c r="D40" s="15" t="n">
        <v>0.0014808</v>
      </c>
      <c r="E40" s="15" t="n">
        <v>0.00146105</v>
      </c>
      <c r="F40" s="15" t="n">
        <v>0.00144271</v>
      </c>
      <c r="G40" s="15" t="n">
        <v>0.00142562</v>
      </c>
      <c r="H40" s="15" t="n">
        <v>0.00140961</v>
      </c>
      <c r="I40" s="15" t="n">
        <v>0.0013945</v>
      </c>
      <c r="J40" s="15" t="n">
        <v>0.00138009</v>
      </c>
      <c r="K40" s="15" t="n">
        <v>0.00136617</v>
      </c>
      <c r="L40" s="15" t="n">
        <v>0.00135251</v>
      </c>
      <c r="M40" s="15" t="n">
        <v>0.00133899</v>
      </c>
      <c r="N40" s="15" t="n">
        <v>0.0013256</v>
      </c>
      <c r="O40" s="15" t="n">
        <v>0.00131234</v>
      </c>
      <c r="P40" s="15" t="n">
        <v>0.00129922</v>
      </c>
      <c r="Q40" s="15" t="n">
        <v>0.00128622</v>
      </c>
      <c r="R40" s="15" t="n">
        <v>0.00127336</v>
      </c>
      <c r="S40" s="15" t="n">
        <v>0.00126063</v>
      </c>
      <c r="T40" s="15" t="n">
        <v>0.00124802</v>
      </c>
      <c r="U40" s="15" t="n">
        <v>0.00123554</v>
      </c>
      <c r="V40" s="15" t="n">
        <v>0.00122319</v>
      </c>
      <c r="W40" s="15" t="n">
        <v>0.00121095</v>
      </c>
      <c r="X40" s="15" t="n">
        <v>0.00119884</v>
      </c>
      <c r="Y40" s="15" t="n">
        <v>0.00118686</v>
      </c>
      <c r="Z40" s="15" t="n">
        <v>0.00117499</v>
      </c>
      <c r="AA40" s="15" t="n">
        <v>0.00116324</v>
      </c>
      <c r="AB40" s="15" t="n">
        <v>0.00115161</v>
      </c>
      <c r="AC40" s="15" t="n">
        <v>0.00114009</v>
      </c>
      <c r="AD40" s="15" t="n">
        <v>0.00112869</v>
      </c>
      <c r="AE40" s="15" t="n">
        <v>0.0011174</v>
      </c>
      <c r="AF40" s="15" t="n">
        <v>0.00110623</v>
      </c>
      <c r="AG40" s="15" t="n">
        <v>0.00109517</v>
      </c>
      <c r="AH40" s="15" t="n">
        <v>0.00108421</v>
      </c>
      <c r="AI40" s="15" t="n">
        <v>0.00107337</v>
      </c>
      <c r="AJ40" s="15" t="n">
        <v>0.00106264</v>
      </c>
      <c r="AK40" s="15" t="n">
        <v>0.00105201</v>
      </c>
      <c r="AL40" s="15" t="n">
        <v>0.00104149</v>
      </c>
      <c r="AM40" s="15" t="n">
        <v>0.00103108</v>
      </c>
      <c r="AN40" s="15" t="n">
        <v>0.00102077</v>
      </c>
      <c r="AO40" s="15" t="n">
        <v>0.00101056</v>
      </c>
      <c r="AP40" s="15" t="n">
        <v>0.00100045</v>
      </c>
      <c r="AQ40" s="15" t="n">
        <v>0.0009904499999999999</v>
      </c>
      <c r="AR40" s="15" t="n">
        <v>0.00098054</v>
      </c>
      <c r="AS40" s="15" t="n">
        <v>0.00097074</v>
      </c>
      <c r="AT40" s="15" t="n">
        <v>0.00096103</v>
      </c>
      <c r="AU40" s="15" t="n">
        <v>0.00095142</v>
      </c>
      <c r="AV40" s="15" t="n">
        <v>0.00094191</v>
      </c>
      <c r="AW40" s="15" t="n">
        <v>0.00093249</v>
      </c>
      <c r="AX40" s="15" t="n">
        <v>0.00092316</v>
      </c>
      <c r="AY40" s="15" t="n">
        <v>0.00091393</v>
      </c>
      <c r="AZ40" s="15" t="n">
        <v>0.00090479</v>
      </c>
      <c r="BA40" s="15" t="n">
        <v>0.00089574</v>
      </c>
      <c r="BB40" s="15" t="n">
        <v>0.00088679</v>
      </c>
      <c r="BC40" s="15" t="n">
        <v>0.00087792</v>
      </c>
      <c r="BD40" s="15" t="n">
        <v>0.00086914</v>
      </c>
      <c r="BE40" s="15" t="n">
        <v>0.00086045</v>
      </c>
      <c r="BF40" s="15" t="n">
        <v>0.00085184</v>
      </c>
      <c r="BG40" s="15" t="n">
        <v>0.0008433200000000001</v>
      </c>
      <c r="BH40" s="15" t="n">
        <v>0.00083489</v>
      </c>
      <c r="BI40" s="15" t="n">
        <v>0.00082654</v>
      </c>
      <c r="BJ40" s="15" t="n">
        <v>0.00081828</v>
      </c>
      <c r="BK40" s="15" t="n">
        <v>0.00081009</v>
      </c>
      <c r="BL40" s="15" t="n">
        <v>0.00080199</v>
      </c>
      <c r="BM40" s="15" t="n">
        <v>0.00079397</v>
      </c>
      <c r="BN40" s="15" t="n">
        <v>0.00078603</v>
      </c>
      <c r="BO40" s="15" t="n">
        <v>0.00077817</v>
      </c>
      <c r="BP40" s="15" t="n">
        <v>0.00077039</v>
      </c>
      <c r="BQ40" s="15" t="n">
        <v>0.00076269</v>
      </c>
      <c r="BR40" s="15" t="n">
        <v>0.00075506</v>
      </c>
      <c r="BS40" s="15" t="n">
        <v>0.0007475099999999999</v>
      </c>
      <c r="BT40" s="15" t="n">
        <v>0.00074004</v>
      </c>
      <c r="BU40" s="15" t="n">
        <v>0.00073263</v>
      </c>
      <c r="BV40" s="15" t="n">
        <v>0.00072531</v>
      </c>
      <c r="BW40" s="15" t="n">
        <v>0.00071806</v>
      </c>
      <c r="BX40" s="15" t="n">
        <v>0.0007108699999999999</v>
      </c>
    </row>
    <row r="41">
      <c r="A41" t="n">
        <v>58</v>
      </c>
      <c r="B41" s="15" t="n">
        <v>0.00164758</v>
      </c>
      <c r="C41" s="15" t="n">
        <v>0.00162267</v>
      </c>
      <c r="D41" s="15" t="n">
        <v>0.00159956</v>
      </c>
      <c r="E41" s="15" t="n">
        <v>0.00157813</v>
      </c>
      <c r="F41" s="15" t="n">
        <v>0.00155825</v>
      </c>
      <c r="G41" s="15" t="n">
        <v>0.00153973</v>
      </c>
      <c r="H41" s="15" t="n">
        <v>0.00152241</v>
      </c>
      <c r="I41" s="15" t="n">
        <v>0.00150607</v>
      </c>
      <c r="J41" s="15" t="n">
        <v>0.0014905</v>
      </c>
      <c r="K41" s="15" t="n">
        <v>0.00147546</v>
      </c>
      <c r="L41" s="15" t="n">
        <v>0.00146071</v>
      </c>
      <c r="M41" s="15" t="n">
        <v>0.0014461</v>
      </c>
      <c r="N41" s="15" t="n">
        <v>0.00143164</v>
      </c>
      <c r="O41" s="15" t="n">
        <v>0.00141732</v>
      </c>
      <c r="P41" s="15" t="n">
        <v>0.00140315</v>
      </c>
      <c r="Q41" s="15" t="n">
        <v>0.00138912</v>
      </c>
      <c r="R41" s="15" t="n">
        <v>0.00137523</v>
      </c>
      <c r="S41" s="15" t="n">
        <v>0.00136148</v>
      </c>
      <c r="T41" s="15" t="n">
        <v>0.00134786</v>
      </c>
      <c r="U41" s="15" t="n">
        <v>0.00133438</v>
      </c>
      <c r="V41" s="15" t="n">
        <v>0.00132104</v>
      </c>
      <c r="W41" s="15" t="n">
        <v>0.00130783</v>
      </c>
      <c r="X41" s="15" t="n">
        <v>0.00129475</v>
      </c>
      <c r="Y41" s="15" t="n">
        <v>0.0012818</v>
      </c>
      <c r="Z41" s="15" t="n">
        <v>0.00126899</v>
      </c>
      <c r="AA41" s="15" t="n">
        <v>0.0012563</v>
      </c>
      <c r="AB41" s="15" t="n">
        <v>0.00124373</v>
      </c>
      <c r="AC41" s="15" t="n">
        <v>0.00123129</v>
      </c>
      <c r="AD41" s="15" t="n">
        <v>0.00121898</v>
      </c>
      <c r="AE41" s="15" t="n">
        <v>0.00120679</v>
      </c>
      <c r="AF41" s="15" t="n">
        <v>0.00119472</v>
      </c>
      <c r="AG41" s="15" t="n">
        <v>0.00118278</v>
      </c>
      <c r="AH41" s="15" t="n">
        <v>0.00117095</v>
      </c>
      <c r="AI41" s="15" t="n">
        <v>0.00115924</v>
      </c>
      <c r="AJ41" s="15" t="n">
        <v>0.00114765</v>
      </c>
      <c r="AK41" s="15" t="n">
        <v>0.00113617</v>
      </c>
      <c r="AL41" s="15" t="n">
        <v>0.00112481</v>
      </c>
      <c r="AM41" s="15" t="n">
        <v>0.00111356</v>
      </c>
      <c r="AN41" s="15" t="n">
        <v>0.00110243</v>
      </c>
      <c r="AO41" s="15" t="n">
        <v>0.0010914</v>
      </c>
      <c r="AP41" s="15" t="n">
        <v>0.00108049</v>
      </c>
      <c r="AQ41" s="15" t="n">
        <v>0.00106968</v>
      </c>
      <c r="AR41" s="15" t="n">
        <v>0.00105899</v>
      </c>
      <c r="AS41" s="15" t="n">
        <v>0.0010484</v>
      </c>
      <c r="AT41" s="15" t="n">
        <v>0.00103791</v>
      </c>
      <c r="AU41" s="15" t="n">
        <v>0.00102753</v>
      </c>
      <c r="AV41" s="15" t="n">
        <v>0.00101726</v>
      </c>
      <c r="AW41" s="15" t="n">
        <v>0.00100708</v>
      </c>
      <c r="AX41" s="15" t="n">
        <v>0.00099701</v>
      </c>
      <c r="AY41" s="15" t="n">
        <v>0.00098704</v>
      </c>
      <c r="AZ41" s="15" t="n">
        <v>0.0009771700000000001</v>
      </c>
      <c r="BA41" s="15" t="n">
        <v>0.0009674</v>
      </c>
      <c r="BB41" s="15" t="n">
        <v>0.00095773</v>
      </c>
      <c r="BC41" s="15" t="n">
        <v>0.00094815</v>
      </c>
      <c r="BD41" s="15" t="n">
        <v>0.00093867</v>
      </c>
      <c r="BE41" s="15" t="n">
        <v>0.00092928</v>
      </c>
      <c r="BF41" s="15" t="n">
        <v>0.00091999</v>
      </c>
      <c r="BG41" s="15" t="n">
        <v>0.00091079</v>
      </c>
      <c r="BH41" s="15" t="n">
        <v>0.00090168</v>
      </c>
      <c r="BI41" s="15" t="n">
        <v>0.00089266</v>
      </c>
      <c r="BJ41" s="15" t="n">
        <v>0.00088374</v>
      </c>
      <c r="BK41" s="15" t="n">
        <v>0.0008749</v>
      </c>
      <c r="BL41" s="15" t="n">
        <v>0.00086615</v>
      </c>
      <c r="BM41" s="15" t="n">
        <v>0.00085749</v>
      </c>
      <c r="BN41" s="15" t="n">
        <v>0.00084892</v>
      </c>
      <c r="BO41" s="15" t="n">
        <v>0.00084043</v>
      </c>
      <c r="BP41" s="15" t="n">
        <v>0.00083202</v>
      </c>
      <c r="BQ41" s="15" t="n">
        <v>0.0008237</v>
      </c>
      <c r="BR41" s="15" t="n">
        <v>0.0008154599999999999</v>
      </c>
      <c r="BS41" s="15" t="n">
        <v>0.00080731</v>
      </c>
      <c r="BT41" s="15" t="n">
        <v>0.00079924</v>
      </c>
      <c r="BU41" s="15" t="n">
        <v>0.00079124</v>
      </c>
      <c r="BV41" s="15" t="n">
        <v>0.0007833300000000001</v>
      </c>
      <c r="BW41" s="15" t="n">
        <v>0.0007755</v>
      </c>
      <c r="BX41" s="15" t="n">
        <v>0.00076774</v>
      </c>
    </row>
    <row r="42">
      <c r="A42" t="n">
        <v>59</v>
      </c>
      <c r="B42" s="15" t="n">
        <v>0.00178178</v>
      </c>
      <c r="C42" s="15" t="n">
        <v>0.00175476</v>
      </c>
      <c r="D42" s="15" t="n">
        <v>0.00172971</v>
      </c>
      <c r="E42" s="15" t="n">
        <v>0.00170649</v>
      </c>
      <c r="F42" s="15" t="n">
        <v>0.00168495</v>
      </c>
      <c r="G42" s="15" t="n">
        <v>0.0016649</v>
      </c>
      <c r="H42" s="15" t="n">
        <v>0.00164615</v>
      </c>
      <c r="I42" s="15" t="n">
        <v>0.00162847</v>
      </c>
      <c r="J42" s="15" t="n">
        <v>0.00161163</v>
      </c>
      <c r="K42" s="15" t="n">
        <v>0.00159538</v>
      </c>
      <c r="L42" s="15" t="n">
        <v>0.00157942</v>
      </c>
      <c r="M42" s="15" t="n">
        <v>0.00156363</v>
      </c>
      <c r="N42" s="15" t="n">
        <v>0.00154799</v>
      </c>
      <c r="O42" s="15" t="n">
        <v>0.00153251</v>
      </c>
      <c r="P42" s="15" t="n">
        <v>0.00151719</v>
      </c>
      <c r="Q42" s="15" t="n">
        <v>0.00150201</v>
      </c>
      <c r="R42" s="15" t="n">
        <v>0.00148699</v>
      </c>
      <c r="S42" s="15" t="n">
        <v>0.00147212</v>
      </c>
      <c r="T42" s="15" t="n">
        <v>0.0014574</v>
      </c>
      <c r="U42" s="15" t="n">
        <v>0.00144283</v>
      </c>
      <c r="V42" s="15" t="n">
        <v>0.0014284</v>
      </c>
      <c r="W42" s="15" t="n">
        <v>0.00141412</v>
      </c>
      <c r="X42" s="15" t="n">
        <v>0.00139998</v>
      </c>
      <c r="Y42" s="15" t="n">
        <v>0.00138598</v>
      </c>
      <c r="Z42" s="15" t="n">
        <v>0.00137212</v>
      </c>
      <c r="AA42" s="15" t="n">
        <v>0.0013584</v>
      </c>
      <c r="AB42" s="15" t="n">
        <v>0.00134481</v>
      </c>
      <c r="AC42" s="15" t="n">
        <v>0.00133136</v>
      </c>
      <c r="AD42" s="15" t="n">
        <v>0.00131805</v>
      </c>
      <c r="AE42" s="15" t="n">
        <v>0.00130487</v>
      </c>
      <c r="AF42" s="15" t="n">
        <v>0.00129182</v>
      </c>
      <c r="AG42" s="15" t="n">
        <v>0.0012789</v>
      </c>
      <c r="AH42" s="15" t="n">
        <v>0.00126611</v>
      </c>
      <c r="AI42" s="15" t="n">
        <v>0.00125345</v>
      </c>
      <c r="AJ42" s="15" t="n">
        <v>0.00124092</v>
      </c>
      <c r="AK42" s="15" t="n">
        <v>0.00122851</v>
      </c>
      <c r="AL42" s="15" t="n">
        <v>0.00121622</v>
      </c>
      <c r="AM42" s="15" t="n">
        <v>0.00120406</v>
      </c>
      <c r="AN42" s="15" t="n">
        <v>0.00119202</v>
      </c>
      <c r="AO42" s="15" t="n">
        <v>0.0011801</v>
      </c>
      <c r="AP42" s="15" t="n">
        <v>0.0011683</v>
      </c>
      <c r="AQ42" s="15" t="n">
        <v>0.00115662</v>
      </c>
      <c r="AR42" s="15" t="n">
        <v>0.00114505</v>
      </c>
      <c r="AS42" s="15" t="n">
        <v>0.0011336</v>
      </c>
      <c r="AT42" s="15" t="n">
        <v>0.00112226</v>
      </c>
      <c r="AU42" s="15" t="n">
        <v>0.00111104</v>
      </c>
      <c r="AV42" s="15" t="n">
        <v>0.00109993</v>
      </c>
      <c r="AW42" s="15" t="n">
        <v>0.00108893</v>
      </c>
      <c r="AX42" s="15" t="n">
        <v>0.00107804</v>
      </c>
      <c r="AY42" s="15" t="n">
        <v>0.00106726</v>
      </c>
      <c r="AZ42" s="15" t="n">
        <v>0.00105659</v>
      </c>
      <c r="BA42" s="15" t="n">
        <v>0.00104602</v>
      </c>
      <c r="BB42" s="15" t="n">
        <v>0.00103556</v>
      </c>
      <c r="BC42" s="15" t="n">
        <v>0.00102521</v>
      </c>
      <c r="BD42" s="15" t="n">
        <v>0.00101495</v>
      </c>
      <c r="BE42" s="15" t="n">
        <v>0.00100481</v>
      </c>
      <c r="BF42" s="15" t="n">
        <v>0.0009947599999999999</v>
      </c>
      <c r="BG42" s="15" t="n">
        <v>0.00098481</v>
      </c>
      <c r="BH42" s="15" t="n">
        <v>0.00097496</v>
      </c>
      <c r="BI42" s="15" t="n">
        <v>0.00096521</v>
      </c>
      <c r="BJ42" s="15" t="n">
        <v>0.00095556</v>
      </c>
      <c r="BK42" s="15" t="n">
        <v>0.000946</v>
      </c>
      <c r="BL42" s="15" t="n">
        <v>0.00093654</v>
      </c>
      <c r="BM42" s="15" t="n">
        <v>0.00092718</v>
      </c>
      <c r="BN42" s="15" t="n">
        <v>0.00091791</v>
      </c>
      <c r="BO42" s="15" t="n">
        <v>0.00090873</v>
      </c>
      <c r="BP42" s="15" t="n">
        <v>0.0008996400000000001</v>
      </c>
      <c r="BQ42" s="15" t="n">
        <v>0.0008906400000000001</v>
      </c>
      <c r="BR42" s="15" t="n">
        <v>0.00088174</v>
      </c>
      <c r="BS42" s="15" t="n">
        <v>0.00087292</v>
      </c>
      <c r="BT42" s="15" t="n">
        <v>0.00086419</v>
      </c>
      <c r="BU42" s="15" t="n">
        <v>0.00085555</v>
      </c>
      <c r="BV42" s="15" t="n">
        <v>0.00084699</v>
      </c>
      <c r="BW42" s="15" t="n">
        <v>0.00083852</v>
      </c>
      <c r="BX42" s="15" t="n">
        <v>0.00083014</v>
      </c>
    </row>
    <row r="43">
      <c r="A43" t="n">
        <v>60</v>
      </c>
      <c r="B43" s="15" t="n">
        <v>0.00196152</v>
      </c>
      <c r="C43" s="15" t="n">
        <v>0.00193178</v>
      </c>
      <c r="D43" s="15" t="n">
        <v>0.00190421</v>
      </c>
      <c r="E43" s="15" t="n">
        <v>0.00187865</v>
      </c>
      <c r="F43" s="15" t="n">
        <v>0.00185494</v>
      </c>
      <c r="G43" s="15" t="n">
        <v>0.00183287</v>
      </c>
      <c r="H43" s="15" t="n">
        <v>0.00181222</v>
      </c>
      <c r="I43" s="15" t="n">
        <v>0.00179276</v>
      </c>
      <c r="J43" s="15" t="n">
        <v>0.00177423</v>
      </c>
      <c r="K43" s="15" t="n">
        <v>0.00175633</v>
      </c>
      <c r="L43" s="15" t="n">
        <v>0.00173876</v>
      </c>
      <c r="M43" s="15" t="n">
        <v>0.00172138</v>
      </c>
      <c r="N43" s="15" t="n">
        <v>0.00170416</v>
      </c>
      <c r="O43" s="15" t="n">
        <v>0.00168712</v>
      </c>
      <c r="P43" s="15" t="n">
        <v>0.00167025</v>
      </c>
      <c r="Q43" s="15" t="n">
        <v>0.00165355</v>
      </c>
      <c r="R43" s="15" t="n">
        <v>0.00163701</v>
      </c>
      <c r="S43" s="15" t="n">
        <v>0.00162064</v>
      </c>
      <c r="T43" s="15" t="n">
        <v>0.00160444</v>
      </c>
      <c r="U43" s="15" t="n">
        <v>0.00158839</v>
      </c>
      <c r="V43" s="15" t="n">
        <v>0.00157251</v>
      </c>
      <c r="W43" s="15" t="n">
        <v>0.00155678</v>
      </c>
      <c r="X43" s="15" t="n">
        <v>0.00154121</v>
      </c>
      <c r="Y43" s="15" t="n">
        <v>0.0015258</v>
      </c>
      <c r="Z43" s="15" t="n">
        <v>0.00151054</v>
      </c>
      <c r="AA43" s="15" t="n">
        <v>0.00149544</v>
      </c>
      <c r="AB43" s="15" t="n">
        <v>0.00148048</v>
      </c>
      <c r="AC43" s="15" t="n">
        <v>0.00146568</v>
      </c>
      <c r="AD43" s="15" t="n">
        <v>0.00145102</v>
      </c>
      <c r="AE43" s="15" t="n">
        <v>0.00143651</v>
      </c>
      <c r="AF43" s="15" t="n">
        <v>0.00142215</v>
      </c>
      <c r="AG43" s="15" t="n">
        <v>0.00140793</v>
      </c>
      <c r="AH43" s="15" t="n">
        <v>0.00139385</v>
      </c>
      <c r="AI43" s="15" t="n">
        <v>0.00137991</v>
      </c>
      <c r="AJ43" s="15" t="n">
        <v>0.00136611</v>
      </c>
      <c r="AK43" s="15" t="n">
        <v>0.00135245</v>
      </c>
      <c r="AL43" s="15" t="n">
        <v>0.00133892</v>
      </c>
      <c r="AM43" s="15" t="n">
        <v>0.00132553</v>
      </c>
      <c r="AN43" s="15" t="n">
        <v>0.00131228</v>
      </c>
      <c r="AO43" s="15" t="n">
        <v>0.00129916</v>
      </c>
      <c r="AP43" s="15" t="n">
        <v>0.00128617</v>
      </c>
      <c r="AQ43" s="15" t="n">
        <v>0.0012733</v>
      </c>
      <c r="AR43" s="15" t="n">
        <v>0.00126057</v>
      </c>
      <c r="AS43" s="15" t="n">
        <v>0.00124796</v>
      </c>
      <c r="AT43" s="15" t="n">
        <v>0.00123548</v>
      </c>
      <c r="AU43" s="15" t="n">
        <v>0.00122313</v>
      </c>
      <c r="AV43" s="15" t="n">
        <v>0.0012109</v>
      </c>
      <c r="AW43" s="15" t="n">
        <v>0.00119879</v>
      </c>
      <c r="AX43" s="15" t="n">
        <v>0.0011868</v>
      </c>
      <c r="AY43" s="15" t="n">
        <v>0.00117493</v>
      </c>
      <c r="AZ43" s="15" t="n">
        <v>0.00116318</v>
      </c>
      <c r="BA43" s="15" t="n">
        <v>0.00115155</v>
      </c>
      <c r="BB43" s="15" t="n">
        <v>0.00114004</v>
      </c>
      <c r="BC43" s="15" t="n">
        <v>0.00112864</v>
      </c>
      <c r="BD43" s="15" t="n">
        <v>0.00111735</v>
      </c>
      <c r="BE43" s="15" t="n">
        <v>0.00110618</v>
      </c>
      <c r="BF43" s="15" t="n">
        <v>0.00109512</v>
      </c>
      <c r="BG43" s="15" t="n">
        <v>0.00108416</v>
      </c>
      <c r="BH43" s="15" t="n">
        <v>0.00107332</v>
      </c>
      <c r="BI43" s="15" t="n">
        <v>0.00106259</v>
      </c>
      <c r="BJ43" s="15" t="n">
        <v>0.00105196</v>
      </c>
      <c r="BK43" s="15" t="n">
        <v>0.00104144</v>
      </c>
      <c r="BL43" s="15" t="n">
        <v>0.00103103</v>
      </c>
      <c r="BM43" s="15" t="n">
        <v>0.00102072</v>
      </c>
      <c r="BN43" s="15" t="n">
        <v>0.00101051</v>
      </c>
      <c r="BO43" s="15" t="n">
        <v>0.00100041</v>
      </c>
      <c r="BP43" s="15" t="n">
        <v>0.0009904</v>
      </c>
      <c r="BQ43" s="15" t="n">
        <v>0.0009805</v>
      </c>
      <c r="BR43" s="15" t="n">
        <v>0.00097069</v>
      </c>
      <c r="BS43" s="15" t="n">
        <v>0.00096099</v>
      </c>
      <c r="BT43" s="15" t="n">
        <v>0.00095138</v>
      </c>
      <c r="BU43" s="15" t="n">
        <v>0.00094186</v>
      </c>
      <c r="BV43" s="15" t="n">
        <v>0.00093244</v>
      </c>
      <c r="BW43" s="15" t="n">
        <v>0.00092312</v>
      </c>
      <c r="BX43" s="15" t="n">
        <v>0.00091389</v>
      </c>
    </row>
    <row r="44">
      <c r="A44" t="n">
        <v>61</v>
      </c>
      <c r="B44" s="15" t="n">
        <v>0.00221749</v>
      </c>
      <c r="C44" s="15" t="n">
        <v>0.00218396</v>
      </c>
      <c r="D44" s="15" t="n">
        <v>0.00215286</v>
      </c>
      <c r="E44" s="15" t="n">
        <v>0.00212402</v>
      </c>
      <c r="F44" s="15" t="n">
        <v>0.00209726</v>
      </c>
      <c r="G44" s="15" t="n">
        <v>0.00207234</v>
      </c>
      <c r="H44" s="15" t="n">
        <v>0.00204902</v>
      </c>
      <c r="I44" s="15" t="n">
        <v>0.00202703</v>
      </c>
      <c r="J44" s="15" t="n">
        <v>0.00200607</v>
      </c>
      <c r="K44" s="15" t="n">
        <v>0.00198584</v>
      </c>
      <c r="L44" s="15" t="n">
        <v>0.00196598</v>
      </c>
      <c r="M44" s="15" t="n">
        <v>0.00194632</v>
      </c>
      <c r="N44" s="15" t="n">
        <v>0.00192686</v>
      </c>
      <c r="O44" s="15" t="n">
        <v>0.00190759</v>
      </c>
      <c r="P44" s="15" t="n">
        <v>0.00188851</v>
      </c>
      <c r="Q44" s="15" t="n">
        <v>0.00186963</v>
      </c>
      <c r="R44" s="15" t="n">
        <v>0.00185093</v>
      </c>
      <c r="S44" s="15" t="n">
        <v>0.00183242</v>
      </c>
      <c r="T44" s="15" t="n">
        <v>0.0018141</v>
      </c>
      <c r="U44" s="15" t="n">
        <v>0.00179596</v>
      </c>
      <c r="V44" s="15" t="n">
        <v>0.001778</v>
      </c>
      <c r="W44" s="15" t="n">
        <v>0.00176022</v>
      </c>
      <c r="X44" s="15" t="n">
        <v>0.00174261</v>
      </c>
      <c r="Y44" s="15" t="n">
        <v>0.00172519</v>
      </c>
      <c r="Z44" s="15" t="n">
        <v>0.00170794</v>
      </c>
      <c r="AA44" s="15" t="n">
        <v>0.00169086</v>
      </c>
      <c r="AB44" s="15" t="n">
        <v>0.00167395</v>
      </c>
      <c r="AC44" s="15" t="n">
        <v>0.00165721</v>
      </c>
      <c r="AD44" s="15" t="n">
        <v>0.00164064</v>
      </c>
      <c r="AE44" s="15" t="n">
        <v>0.00162423</v>
      </c>
      <c r="AF44" s="15" t="n">
        <v>0.00160799</v>
      </c>
      <c r="AG44" s="15" t="n">
        <v>0.00159191</v>
      </c>
      <c r="AH44" s="15" t="n">
        <v>0.00157599</v>
      </c>
      <c r="AI44" s="15" t="n">
        <v>0.00156023</v>
      </c>
      <c r="AJ44" s="15" t="n">
        <v>0.00154463</v>
      </c>
      <c r="AK44" s="15" t="n">
        <v>0.00152918</v>
      </c>
      <c r="AL44" s="15" t="n">
        <v>0.00151389</v>
      </c>
      <c r="AM44" s="15" t="n">
        <v>0.00149875</v>
      </c>
      <c r="AN44" s="15" t="n">
        <v>0.00148376</v>
      </c>
      <c r="AO44" s="15" t="n">
        <v>0.00146892</v>
      </c>
      <c r="AP44" s="15" t="n">
        <v>0.00145424</v>
      </c>
      <c r="AQ44" s="15" t="n">
        <v>0.00143969</v>
      </c>
      <c r="AR44" s="15" t="n">
        <v>0.0014253</v>
      </c>
      <c r="AS44" s="15" t="n">
        <v>0.00141104</v>
      </c>
      <c r="AT44" s="15" t="n">
        <v>0.00139693</v>
      </c>
      <c r="AU44" s="15" t="n">
        <v>0.00138296</v>
      </c>
      <c r="AV44" s="15" t="n">
        <v>0.00136913</v>
      </c>
      <c r="AW44" s="15" t="n">
        <v>0.00135544</v>
      </c>
      <c r="AX44" s="15" t="n">
        <v>0.00134189</v>
      </c>
      <c r="AY44" s="15" t="n">
        <v>0.00132847</v>
      </c>
      <c r="AZ44" s="15" t="n">
        <v>0.00131518</v>
      </c>
      <c r="BA44" s="15" t="n">
        <v>0.00130203</v>
      </c>
      <c r="BB44" s="15" t="n">
        <v>0.00128901</v>
      </c>
      <c r="BC44" s="15" t="n">
        <v>0.00127612</v>
      </c>
      <c r="BD44" s="15" t="n">
        <v>0.00126336</v>
      </c>
      <c r="BE44" s="15" t="n">
        <v>0.00125073</v>
      </c>
      <c r="BF44" s="15" t="n">
        <v>0.00123822</v>
      </c>
      <c r="BG44" s="15" t="n">
        <v>0.00122584</v>
      </c>
      <c r="BH44" s="15" t="n">
        <v>0.00121358</v>
      </c>
      <c r="BI44" s="15" t="n">
        <v>0.00120144</v>
      </c>
      <c r="BJ44" s="15" t="n">
        <v>0.00118943</v>
      </c>
      <c r="BK44" s="15" t="n">
        <v>0.00117754</v>
      </c>
      <c r="BL44" s="15" t="n">
        <v>0.00116576</v>
      </c>
      <c r="BM44" s="15" t="n">
        <v>0.0011541</v>
      </c>
      <c r="BN44" s="15" t="n">
        <v>0.00114256</v>
      </c>
      <c r="BO44" s="15" t="n">
        <v>0.00113114</v>
      </c>
      <c r="BP44" s="15" t="n">
        <v>0.00111982</v>
      </c>
      <c r="BQ44" s="15" t="n">
        <v>0.00110863</v>
      </c>
      <c r="BR44" s="15" t="n">
        <v>0.00109754</v>
      </c>
      <c r="BS44" s="15" t="n">
        <v>0.00108656</v>
      </c>
      <c r="BT44" s="15" t="n">
        <v>0.0010757</v>
      </c>
      <c r="BU44" s="15" t="n">
        <v>0.00106494</v>
      </c>
      <c r="BV44" s="15" t="n">
        <v>0.00105429</v>
      </c>
      <c r="BW44" s="15" t="n">
        <v>0.00104375</v>
      </c>
      <c r="BX44" s="15" t="n">
        <v>0.00103331</v>
      </c>
    </row>
    <row r="45">
      <c r="A45" t="n">
        <v>62</v>
      </c>
      <c r="B45" s="15" t="n">
        <v>0.0025186</v>
      </c>
      <c r="C45" s="15" t="n">
        <v>0.00248069</v>
      </c>
      <c r="D45" s="15" t="n">
        <v>0.00244551</v>
      </c>
      <c r="E45" s="15" t="n">
        <v>0.00241287</v>
      </c>
      <c r="F45" s="15" t="n">
        <v>0.00238255</v>
      </c>
      <c r="G45" s="15" t="n">
        <v>0.0023543</v>
      </c>
      <c r="H45" s="15" t="n">
        <v>0.00232785</v>
      </c>
      <c r="I45" s="15" t="n">
        <v>0.00230289</v>
      </c>
      <c r="J45" s="15" t="n">
        <v>0.0022791</v>
      </c>
      <c r="K45" s="15" t="n">
        <v>0.00225611</v>
      </c>
      <c r="L45" s="15" t="n">
        <v>0.00223355</v>
      </c>
      <c r="M45" s="15" t="n">
        <v>0.00221121</v>
      </c>
      <c r="N45" s="15" t="n">
        <v>0.0021891</v>
      </c>
      <c r="O45" s="15" t="n">
        <v>0.00216721</v>
      </c>
      <c r="P45" s="15" t="n">
        <v>0.00214554</v>
      </c>
      <c r="Q45" s="15" t="n">
        <v>0.00212408</v>
      </c>
      <c r="R45" s="15" t="n">
        <v>0.00210284</v>
      </c>
      <c r="S45" s="15" t="n">
        <v>0.00208181</v>
      </c>
      <c r="T45" s="15" t="n">
        <v>0.00206099</v>
      </c>
      <c r="U45" s="15" t="n">
        <v>0.00204038</v>
      </c>
      <c r="V45" s="15" t="n">
        <v>0.00201998</v>
      </c>
      <c r="W45" s="15" t="n">
        <v>0.00199978</v>
      </c>
      <c r="X45" s="15" t="n">
        <v>0.00197978</v>
      </c>
      <c r="Y45" s="15" t="n">
        <v>0.00195999</v>
      </c>
      <c r="Z45" s="15" t="n">
        <v>0.00194039</v>
      </c>
      <c r="AA45" s="15" t="n">
        <v>0.00192098</v>
      </c>
      <c r="AB45" s="15" t="n">
        <v>0.00190177</v>
      </c>
      <c r="AC45" s="15" t="n">
        <v>0.00188275</v>
      </c>
      <c r="AD45" s="15" t="n">
        <v>0.00186393</v>
      </c>
      <c r="AE45" s="15" t="n">
        <v>0.00184529</v>
      </c>
      <c r="AF45" s="15" t="n">
        <v>0.00182683</v>
      </c>
      <c r="AG45" s="15" t="n">
        <v>0.00180857</v>
      </c>
      <c r="AH45" s="15" t="n">
        <v>0.00179048</v>
      </c>
      <c r="AI45" s="15" t="n">
        <v>0.00177258</v>
      </c>
      <c r="AJ45" s="15" t="n">
        <v>0.00175485</v>
      </c>
      <c r="AK45" s="15" t="n">
        <v>0.0017373</v>
      </c>
      <c r="AL45" s="15" t="n">
        <v>0.00171993</v>
      </c>
      <c r="AM45" s="15" t="n">
        <v>0.00170273</v>
      </c>
      <c r="AN45" s="15" t="n">
        <v>0.0016857</v>
      </c>
      <c r="AO45" s="15" t="n">
        <v>0.00166884</v>
      </c>
      <c r="AP45" s="15" t="n">
        <v>0.00165216</v>
      </c>
      <c r="AQ45" s="15" t="n">
        <v>0.00163563</v>
      </c>
      <c r="AR45" s="15" t="n">
        <v>0.00161928</v>
      </c>
      <c r="AS45" s="15" t="n">
        <v>0.00160309</v>
      </c>
      <c r="AT45" s="15" t="n">
        <v>0.00158705</v>
      </c>
      <c r="AU45" s="15" t="n">
        <v>0.00157118</v>
      </c>
      <c r="AV45" s="15" t="n">
        <v>0.00155547</v>
      </c>
      <c r="AW45" s="15" t="n">
        <v>0.00153992</v>
      </c>
      <c r="AX45" s="15" t="n">
        <v>0.00152452</v>
      </c>
      <c r="AY45" s="15" t="n">
        <v>0.00150927</v>
      </c>
      <c r="AZ45" s="15" t="n">
        <v>0.00149418</v>
      </c>
      <c r="BA45" s="15" t="n">
        <v>0.00147924</v>
      </c>
      <c r="BB45" s="15" t="n">
        <v>0.00146445</v>
      </c>
      <c r="BC45" s="15" t="n">
        <v>0.0014498</v>
      </c>
      <c r="BD45" s="15" t="n">
        <v>0.0014353</v>
      </c>
      <c r="BE45" s="15" t="n">
        <v>0.00142095</v>
      </c>
      <c r="BF45" s="15" t="n">
        <v>0.00140674</v>
      </c>
      <c r="BG45" s="15" t="n">
        <v>0.00139267</v>
      </c>
      <c r="BH45" s="15" t="n">
        <v>0.00137875</v>
      </c>
      <c r="BI45" s="15" t="n">
        <v>0.00136496</v>
      </c>
      <c r="BJ45" s="15" t="n">
        <v>0.00135131</v>
      </c>
      <c r="BK45" s="15" t="n">
        <v>0.0013378</v>
      </c>
      <c r="BL45" s="15" t="n">
        <v>0.00132442</v>
      </c>
      <c r="BM45" s="15" t="n">
        <v>0.00131117</v>
      </c>
      <c r="BN45" s="15" t="n">
        <v>0.00129806</v>
      </c>
      <c r="BO45" s="15" t="n">
        <v>0.00128508</v>
      </c>
      <c r="BP45" s="15" t="n">
        <v>0.00127223</v>
      </c>
      <c r="BQ45" s="15" t="n">
        <v>0.00125951</v>
      </c>
      <c r="BR45" s="15" t="n">
        <v>0.00124691</v>
      </c>
      <c r="BS45" s="15" t="n">
        <v>0.00123445</v>
      </c>
      <c r="BT45" s="15" t="n">
        <v>0.0012221</v>
      </c>
      <c r="BU45" s="15" t="n">
        <v>0.00120988</v>
      </c>
      <c r="BV45" s="15" t="n">
        <v>0.00119778</v>
      </c>
      <c r="BW45" s="15" t="n">
        <v>0.0011858</v>
      </c>
      <c r="BX45" s="15" t="n">
        <v>0.00117394</v>
      </c>
    </row>
    <row r="46">
      <c r="A46" t="n">
        <v>63</v>
      </c>
      <c r="B46" s="15" t="n">
        <v>0.0029579</v>
      </c>
      <c r="C46" s="15" t="n">
        <v>0.00291363</v>
      </c>
      <c r="D46" s="15" t="n">
        <v>0.00287252</v>
      </c>
      <c r="E46" s="15" t="n">
        <v>0.00283435</v>
      </c>
      <c r="F46" s="15" t="n">
        <v>0.00279885</v>
      </c>
      <c r="G46" s="15" t="n">
        <v>0.00276576</v>
      </c>
      <c r="H46" s="15" t="n">
        <v>0.00273474</v>
      </c>
      <c r="I46" s="15" t="n">
        <v>0.00270546</v>
      </c>
      <c r="J46" s="15" t="n">
        <v>0.00267752</v>
      </c>
      <c r="K46" s="15" t="n">
        <v>0.00265052</v>
      </c>
      <c r="L46" s="15" t="n">
        <v>0.00262401</v>
      </c>
      <c r="M46" s="15" t="n">
        <v>0.00259777</v>
      </c>
      <c r="N46" s="15" t="n">
        <v>0.00257179</v>
      </c>
      <c r="O46" s="15" t="n">
        <v>0.00254608</v>
      </c>
      <c r="P46" s="15" t="n">
        <v>0.00252061</v>
      </c>
      <c r="Q46" s="15" t="n">
        <v>0.00249541</v>
      </c>
      <c r="R46" s="15" t="n">
        <v>0.00247045</v>
      </c>
      <c r="S46" s="15" t="n">
        <v>0.00244575</v>
      </c>
      <c r="T46" s="15" t="n">
        <v>0.00242129</v>
      </c>
      <c r="U46" s="15" t="n">
        <v>0.00239708</v>
      </c>
      <c r="V46" s="15" t="n">
        <v>0.00237311</v>
      </c>
      <c r="W46" s="15" t="n">
        <v>0.00234938</v>
      </c>
      <c r="X46" s="15" t="n">
        <v>0.00232588</v>
      </c>
      <c r="Y46" s="15" t="n">
        <v>0.00230263</v>
      </c>
      <c r="Z46" s="15" t="n">
        <v>0.0022796</v>
      </c>
      <c r="AA46" s="15" t="n">
        <v>0.0022568</v>
      </c>
      <c r="AB46" s="15" t="n">
        <v>0.00223423</v>
      </c>
      <c r="AC46" s="15" t="n">
        <v>0.00221189</v>
      </c>
      <c r="AD46" s="15" t="n">
        <v>0.00218977</v>
      </c>
      <c r="AE46" s="15" t="n">
        <v>0.00216788</v>
      </c>
      <c r="AF46" s="15" t="n">
        <v>0.0021462</v>
      </c>
      <c r="AG46" s="15" t="n">
        <v>0.00212474</v>
      </c>
      <c r="AH46" s="15" t="n">
        <v>0.00210349</v>
      </c>
      <c r="AI46" s="15" t="n">
        <v>0.00208245</v>
      </c>
      <c r="AJ46" s="15" t="n">
        <v>0.00206163</v>
      </c>
      <c r="AK46" s="15" t="n">
        <v>0.00204101</v>
      </c>
      <c r="AL46" s="15" t="n">
        <v>0.0020206</v>
      </c>
      <c r="AM46" s="15" t="n">
        <v>0.0020004</v>
      </c>
      <c r="AN46" s="15" t="n">
        <v>0.00198039</v>
      </c>
      <c r="AO46" s="15" t="n">
        <v>0.00196059</v>
      </c>
      <c r="AP46" s="15" t="n">
        <v>0.00194098</v>
      </c>
      <c r="AQ46" s="15" t="n">
        <v>0.00192157</v>
      </c>
      <c r="AR46" s="15" t="n">
        <v>0.00190236</v>
      </c>
      <c r="AS46" s="15" t="n">
        <v>0.00188333</v>
      </c>
      <c r="AT46" s="15" t="n">
        <v>0.0018645</v>
      </c>
      <c r="AU46" s="15" t="n">
        <v>0.00184585</v>
      </c>
      <c r="AV46" s="15" t="n">
        <v>0.0018274</v>
      </c>
      <c r="AW46" s="15" t="n">
        <v>0.00180912</v>
      </c>
      <c r="AX46" s="15" t="n">
        <v>0.00179103</v>
      </c>
      <c r="AY46" s="15" t="n">
        <v>0.00177312</v>
      </c>
      <c r="AZ46" s="15" t="n">
        <v>0.00175539</v>
      </c>
      <c r="BA46" s="15" t="n">
        <v>0.00173784</v>
      </c>
      <c r="BB46" s="15" t="n">
        <v>0.00172046</v>
      </c>
      <c r="BC46" s="15" t="n">
        <v>0.00170325</v>
      </c>
      <c r="BD46" s="15" t="n">
        <v>0.00168622</v>
      </c>
      <c r="BE46" s="15" t="n">
        <v>0.00166936</v>
      </c>
      <c r="BF46" s="15" t="n">
        <v>0.00165266</v>
      </c>
      <c r="BG46" s="15" t="n">
        <v>0.00163614</v>
      </c>
      <c r="BH46" s="15" t="n">
        <v>0.00161978</v>
      </c>
      <c r="BI46" s="15" t="n">
        <v>0.00160358</v>
      </c>
      <c r="BJ46" s="15" t="n">
        <v>0.00158754</v>
      </c>
      <c r="BK46" s="15" t="n">
        <v>0.00157167</v>
      </c>
      <c r="BL46" s="15" t="n">
        <v>0.00155595</v>
      </c>
      <c r="BM46" s="15" t="n">
        <v>0.00154039</v>
      </c>
      <c r="BN46" s="15" t="n">
        <v>0.00152499</v>
      </c>
      <c r="BO46" s="15" t="n">
        <v>0.00150974</v>
      </c>
      <c r="BP46" s="15" t="n">
        <v>0.00149464</v>
      </c>
      <c r="BQ46" s="15" t="n">
        <v>0.00147969</v>
      </c>
      <c r="BR46" s="15" t="n">
        <v>0.0014649</v>
      </c>
      <c r="BS46" s="15" t="n">
        <v>0.00145025</v>
      </c>
      <c r="BT46" s="15" t="n">
        <v>0.00143575</v>
      </c>
      <c r="BU46" s="15" t="n">
        <v>0.00142139</v>
      </c>
      <c r="BV46" s="15" t="n">
        <v>0.00140717</v>
      </c>
      <c r="BW46" s="15" t="n">
        <v>0.0013931</v>
      </c>
      <c r="BX46" s="15" t="n">
        <v>0.00137917</v>
      </c>
    </row>
    <row r="47">
      <c r="A47" t="n">
        <v>64</v>
      </c>
      <c r="B47" s="15" t="n">
        <v>0.00339289</v>
      </c>
      <c r="C47" s="15" t="n">
        <v>0.00334241</v>
      </c>
      <c r="D47" s="15" t="n">
        <v>0.00329549</v>
      </c>
      <c r="E47" s="15" t="n">
        <v>0.00325188</v>
      </c>
      <c r="F47" s="15" t="n">
        <v>0.0032113</v>
      </c>
      <c r="G47" s="15" t="n">
        <v>0.00317344</v>
      </c>
      <c r="H47" s="15" t="n">
        <v>0.00313792</v>
      </c>
      <c r="I47" s="15" t="n">
        <v>0.00310435</v>
      </c>
      <c r="J47" s="15" t="n">
        <v>0.00307231</v>
      </c>
      <c r="K47" s="15" t="n">
        <v>0.00304133</v>
      </c>
      <c r="L47" s="15" t="n">
        <v>0.00301092</v>
      </c>
      <c r="M47" s="15" t="n">
        <v>0.00298081</v>
      </c>
      <c r="N47" s="15" t="n">
        <v>0.002951</v>
      </c>
      <c r="O47" s="15" t="n">
        <v>0.00292149</v>
      </c>
      <c r="P47" s="15" t="n">
        <v>0.00289228</v>
      </c>
      <c r="Q47" s="15" t="n">
        <v>0.00286335</v>
      </c>
      <c r="R47" s="15" t="n">
        <v>0.00283472</v>
      </c>
      <c r="S47" s="15" t="n">
        <v>0.00280637</v>
      </c>
      <c r="T47" s="15" t="n">
        <v>0.00277831</v>
      </c>
      <c r="U47" s="15" t="n">
        <v>0.00275053</v>
      </c>
      <c r="V47" s="15" t="n">
        <v>0.00272302</v>
      </c>
      <c r="W47" s="15" t="n">
        <v>0.00269579</v>
      </c>
      <c r="X47" s="15" t="n">
        <v>0.00266883</v>
      </c>
      <c r="Y47" s="15" t="n">
        <v>0.00264214</v>
      </c>
      <c r="Z47" s="15" t="n">
        <v>0.00261572</v>
      </c>
      <c r="AA47" s="15" t="n">
        <v>0.00258957</v>
      </c>
      <c r="AB47" s="15" t="n">
        <v>0.00256367</v>
      </c>
      <c r="AC47" s="15" t="n">
        <v>0.00253803</v>
      </c>
      <c r="AD47" s="15" t="n">
        <v>0.00251265</v>
      </c>
      <c r="AE47" s="15" t="n">
        <v>0.00248753</v>
      </c>
      <c r="AF47" s="15" t="n">
        <v>0.00246265</v>
      </c>
      <c r="AG47" s="15" t="n">
        <v>0.00243803</v>
      </c>
      <c r="AH47" s="15" t="n">
        <v>0.00241364</v>
      </c>
      <c r="AI47" s="15" t="n">
        <v>0.00238951</v>
      </c>
      <c r="AJ47" s="15" t="n">
        <v>0.00236561</v>
      </c>
      <c r="AK47" s="15" t="n">
        <v>0.00234196</v>
      </c>
      <c r="AL47" s="15" t="n">
        <v>0.00231854</v>
      </c>
      <c r="AM47" s="15" t="n">
        <v>0.00229535</v>
      </c>
      <c r="AN47" s="15" t="n">
        <v>0.0022724</v>
      </c>
      <c r="AO47" s="15" t="n">
        <v>0.00224967</v>
      </c>
      <c r="AP47" s="15" t="n">
        <v>0.00222718</v>
      </c>
      <c r="AQ47" s="15" t="n">
        <v>0.00220491</v>
      </c>
      <c r="AR47" s="15" t="n">
        <v>0.00218286</v>
      </c>
      <c r="AS47" s="15" t="n">
        <v>0.00216103</v>
      </c>
      <c r="AT47" s="15" t="n">
        <v>0.00213942</v>
      </c>
      <c r="AU47" s="15" t="n">
        <v>0.00211802</v>
      </c>
      <c r="AV47" s="15" t="n">
        <v>0.00209684</v>
      </c>
      <c r="AW47" s="15" t="n">
        <v>0.00207588</v>
      </c>
      <c r="AX47" s="15" t="n">
        <v>0.00205512</v>
      </c>
      <c r="AY47" s="15" t="n">
        <v>0.00203457</v>
      </c>
      <c r="AZ47" s="15" t="n">
        <v>0.00201422</v>
      </c>
      <c r="BA47" s="15" t="n">
        <v>0.00199408</v>
      </c>
      <c r="BB47" s="15" t="n">
        <v>0.00197414</v>
      </c>
      <c r="BC47" s="15" t="n">
        <v>0.0019544</v>
      </c>
      <c r="BD47" s="15" t="n">
        <v>0.00193485</v>
      </c>
      <c r="BE47" s="15" t="n">
        <v>0.0019155</v>
      </c>
      <c r="BF47" s="15" t="n">
        <v>0.00189635</v>
      </c>
      <c r="BG47" s="15" t="n">
        <v>0.00187738</v>
      </c>
      <c r="BH47" s="15" t="n">
        <v>0.00185861</v>
      </c>
      <c r="BI47" s="15" t="n">
        <v>0.00184002</v>
      </c>
      <c r="BJ47" s="15" t="n">
        <v>0.00182162</v>
      </c>
      <c r="BK47" s="15" t="n">
        <v>0.00180341</v>
      </c>
      <c r="BL47" s="15" t="n">
        <v>0.00178537</v>
      </c>
      <c r="BM47" s="15" t="n">
        <v>0.00176752</v>
      </c>
      <c r="BN47" s="15" t="n">
        <v>0.00174985</v>
      </c>
      <c r="BO47" s="15" t="n">
        <v>0.00173235</v>
      </c>
      <c r="BP47" s="15" t="n">
        <v>0.00171502</v>
      </c>
      <c r="BQ47" s="15" t="n">
        <v>0.00169787</v>
      </c>
      <c r="BR47" s="15" t="n">
        <v>0.00168089</v>
      </c>
      <c r="BS47" s="15" t="n">
        <v>0.00166409</v>
      </c>
      <c r="BT47" s="15" t="n">
        <v>0.00164744</v>
      </c>
      <c r="BU47" s="15" t="n">
        <v>0.00163097</v>
      </c>
      <c r="BV47" s="15" t="n">
        <v>0.00161466</v>
      </c>
      <c r="BW47" s="15" t="n">
        <v>0.00159851</v>
      </c>
      <c r="BX47" s="15" t="n">
        <v>0.00158253</v>
      </c>
    </row>
    <row r="48">
      <c r="A48" t="n">
        <v>65</v>
      </c>
      <c r="B48" s="15" t="n">
        <v>0.00385428</v>
      </c>
      <c r="C48" s="15" t="n">
        <v>0.00379723</v>
      </c>
      <c r="D48" s="15" t="n">
        <v>0.00374416</v>
      </c>
      <c r="E48" s="15" t="n">
        <v>0.0036948</v>
      </c>
      <c r="F48" s="15" t="n">
        <v>0.00364884</v>
      </c>
      <c r="G48" s="15" t="n">
        <v>0.00360592</v>
      </c>
      <c r="H48" s="15" t="n">
        <v>0.00356563</v>
      </c>
      <c r="I48" s="15" t="n">
        <v>0.00352752</v>
      </c>
      <c r="J48" s="15" t="n">
        <v>0.00349113</v>
      </c>
      <c r="K48" s="15" t="n">
        <v>0.00345594</v>
      </c>
      <c r="L48" s="15" t="n">
        <v>0.00342138</v>
      </c>
      <c r="M48" s="15" t="n">
        <v>0.00338716</v>
      </c>
      <c r="N48" s="15" t="n">
        <v>0.00335329</v>
      </c>
      <c r="O48" s="15" t="n">
        <v>0.00331976</v>
      </c>
      <c r="P48" s="15" t="n">
        <v>0.00328656</v>
      </c>
      <c r="Q48" s="15" t="n">
        <v>0.0032537</v>
      </c>
      <c r="R48" s="15" t="n">
        <v>0.00322116</v>
      </c>
      <c r="S48" s="15" t="n">
        <v>0.00318895</v>
      </c>
      <c r="T48" s="15" t="n">
        <v>0.00315706</v>
      </c>
      <c r="U48" s="15" t="n">
        <v>0.00312549</v>
      </c>
      <c r="V48" s="15" t="n">
        <v>0.00309423</v>
      </c>
      <c r="W48" s="15" t="n">
        <v>0.00306329</v>
      </c>
      <c r="X48" s="15" t="n">
        <v>0.00303266</v>
      </c>
      <c r="Y48" s="15" t="n">
        <v>0.00300233</v>
      </c>
      <c r="Z48" s="15" t="n">
        <v>0.00297231</v>
      </c>
      <c r="AA48" s="15" t="n">
        <v>0.00294258</v>
      </c>
      <c r="AB48" s="15" t="n">
        <v>0.00291316</v>
      </c>
      <c r="AC48" s="15" t="n">
        <v>0.00288403</v>
      </c>
      <c r="AD48" s="15" t="n">
        <v>0.00285519</v>
      </c>
      <c r="AE48" s="15" t="n">
        <v>0.00282663</v>
      </c>
      <c r="AF48" s="15" t="n">
        <v>0.00279837</v>
      </c>
      <c r="AG48" s="15" t="n">
        <v>0.00277038</v>
      </c>
      <c r="AH48" s="15" t="n">
        <v>0.00274268</v>
      </c>
      <c r="AI48" s="15" t="n">
        <v>0.00271525</v>
      </c>
      <c r="AJ48" s="15" t="n">
        <v>0.0026881</v>
      </c>
      <c r="AK48" s="15" t="n">
        <v>0.00266122</v>
      </c>
      <c r="AL48" s="15" t="n">
        <v>0.00263461</v>
      </c>
      <c r="AM48" s="15" t="n">
        <v>0.00260826</v>
      </c>
      <c r="AN48" s="15" t="n">
        <v>0.00258218</v>
      </c>
      <c r="AO48" s="15" t="n">
        <v>0.00255636</v>
      </c>
      <c r="AP48" s="15" t="n">
        <v>0.00253079</v>
      </c>
      <c r="AQ48" s="15" t="n">
        <v>0.00250549</v>
      </c>
      <c r="AR48" s="15" t="n">
        <v>0.00248043</v>
      </c>
      <c r="AS48" s="15" t="n">
        <v>0.00245563</v>
      </c>
      <c r="AT48" s="15" t="n">
        <v>0.00243107</v>
      </c>
      <c r="AU48" s="15" t="n">
        <v>0.00240676</v>
      </c>
      <c r="AV48" s="15" t="n">
        <v>0.00238269</v>
      </c>
      <c r="AW48" s="15" t="n">
        <v>0.00235887</v>
      </c>
      <c r="AX48" s="15" t="n">
        <v>0.00233528</v>
      </c>
      <c r="AY48" s="15" t="n">
        <v>0.00231192</v>
      </c>
      <c r="AZ48" s="15" t="n">
        <v>0.00228881</v>
      </c>
      <c r="BA48" s="15" t="n">
        <v>0.00226592</v>
      </c>
      <c r="BB48" s="15" t="n">
        <v>0.00224326</v>
      </c>
      <c r="BC48" s="15" t="n">
        <v>0.00222083</v>
      </c>
      <c r="BD48" s="15" t="n">
        <v>0.00219862</v>
      </c>
      <c r="BE48" s="15" t="n">
        <v>0.00217663</v>
      </c>
      <c r="BF48" s="15" t="n">
        <v>0.00215486</v>
      </c>
      <c r="BG48" s="15" t="n">
        <v>0.00213332</v>
      </c>
      <c r="BH48" s="15" t="n">
        <v>0.00211198</v>
      </c>
      <c r="BI48" s="15" t="n">
        <v>0.00209086</v>
      </c>
      <c r="BJ48" s="15" t="n">
        <v>0.00206995</v>
      </c>
      <c r="BK48" s="15" t="n">
        <v>0.00204925</v>
      </c>
      <c r="BL48" s="15" t="n">
        <v>0.00202876</v>
      </c>
      <c r="BM48" s="15" t="n">
        <v>0.00200847</v>
      </c>
      <c r="BN48" s="15" t="n">
        <v>0.00198839</v>
      </c>
      <c r="BO48" s="15" t="n">
        <v>0.00196851</v>
      </c>
      <c r="BP48" s="15" t="n">
        <v>0.00194882</v>
      </c>
      <c r="BQ48" s="15" t="n">
        <v>0.00192933</v>
      </c>
      <c r="BR48" s="15" t="n">
        <v>0.00191004</v>
      </c>
      <c r="BS48" s="15" t="n">
        <v>0.00189094</v>
      </c>
      <c r="BT48" s="15" t="n">
        <v>0.00187203</v>
      </c>
      <c r="BU48" s="15" t="n">
        <v>0.00185331</v>
      </c>
      <c r="BV48" s="15" t="n">
        <v>0.00183478</v>
      </c>
      <c r="BW48" s="15" t="n">
        <v>0.00181643</v>
      </c>
      <c r="BX48" s="15" t="n">
        <v>0.00179826</v>
      </c>
    </row>
    <row r="49">
      <c r="A49" t="n">
        <v>66</v>
      </c>
      <c r="B49" s="15" t="n">
        <v>0.00434481</v>
      </c>
      <c r="C49" s="15" t="n">
        <v>0.00428074</v>
      </c>
      <c r="D49" s="15" t="n">
        <v>0.00422112</v>
      </c>
      <c r="E49" s="15" t="n">
        <v>0.00416564</v>
      </c>
      <c r="F49" s="15" t="n">
        <v>0.00411394</v>
      </c>
      <c r="G49" s="15" t="n">
        <v>0.00406563</v>
      </c>
      <c r="H49" s="15" t="n">
        <v>0.00402026</v>
      </c>
      <c r="I49" s="15" t="n">
        <v>0.00397733</v>
      </c>
      <c r="J49" s="15" t="n">
        <v>0.00393632</v>
      </c>
      <c r="K49" s="15" t="n">
        <v>0.00389664</v>
      </c>
      <c r="L49" s="15" t="n">
        <v>0.00385767</v>
      </c>
      <c r="M49" s="15" t="n">
        <v>0.00381909</v>
      </c>
      <c r="N49" s="15" t="n">
        <v>0.0037809</v>
      </c>
      <c r="O49" s="15" t="n">
        <v>0.00374309</v>
      </c>
      <c r="P49" s="15" t="n">
        <v>0.00370566</v>
      </c>
      <c r="Q49" s="15" t="n">
        <v>0.00366861</v>
      </c>
      <c r="R49" s="15" t="n">
        <v>0.00363192</v>
      </c>
      <c r="S49" s="15" t="n">
        <v>0.0035956</v>
      </c>
      <c r="T49" s="15" t="n">
        <v>0.00355965</v>
      </c>
      <c r="U49" s="15" t="n">
        <v>0.00352405</v>
      </c>
      <c r="V49" s="15" t="n">
        <v>0.00348881</v>
      </c>
      <c r="W49" s="15" t="n">
        <v>0.00345392</v>
      </c>
      <c r="X49" s="15" t="n">
        <v>0.00341938</v>
      </c>
      <c r="Y49" s="15" t="n">
        <v>0.00338519</v>
      </c>
      <c r="Z49" s="15" t="n">
        <v>0.00335134</v>
      </c>
      <c r="AA49" s="15" t="n">
        <v>0.00331782</v>
      </c>
      <c r="AB49" s="15" t="n">
        <v>0.00328464</v>
      </c>
      <c r="AC49" s="15" t="n">
        <v>0.0032518</v>
      </c>
      <c r="AD49" s="15" t="n">
        <v>0.00321928</v>
      </c>
      <c r="AE49" s="15" t="n">
        <v>0.00318709</v>
      </c>
      <c r="AF49" s="15" t="n">
        <v>0.00315522</v>
      </c>
      <c r="AG49" s="15" t="n">
        <v>0.00312366</v>
      </c>
      <c r="AH49" s="15" t="n">
        <v>0.00309243</v>
      </c>
      <c r="AI49" s="15" t="n">
        <v>0.0030615</v>
      </c>
      <c r="AJ49" s="15" t="n">
        <v>0.00303089</v>
      </c>
      <c r="AK49" s="15" t="n">
        <v>0.00300058</v>
      </c>
      <c r="AL49" s="15" t="n">
        <v>0.00297057</v>
      </c>
      <c r="AM49" s="15" t="n">
        <v>0.00294087</v>
      </c>
      <c r="AN49" s="15" t="n">
        <v>0.00291146</v>
      </c>
      <c r="AO49" s="15" t="n">
        <v>0.00288234</v>
      </c>
      <c r="AP49" s="15" t="n">
        <v>0.00285352</v>
      </c>
      <c r="AQ49" s="15" t="n">
        <v>0.00282499</v>
      </c>
      <c r="AR49" s="15" t="n">
        <v>0.00279674</v>
      </c>
      <c r="AS49" s="15" t="n">
        <v>0.00276877</v>
      </c>
      <c r="AT49" s="15" t="n">
        <v>0.00274108</v>
      </c>
      <c r="AU49" s="15" t="n">
        <v>0.00271367</v>
      </c>
      <c r="AV49" s="15" t="n">
        <v>0.00268653</v>
      </c>
      <c r="AW49" s="15" t="n">
        <v>0.00265967</v>
      </c>
      <c r="AX49" s="15" t="n">
        <v>0.00263307</v>
      </c>
      <c r="AY49" s="15" t="n">
        <v>0.00260674</v>
      </c>
      <c r="AZ49" s="15" t="n">
        <v>0.00258067</v>
      </c>
      <c r="BA49" s="15" t="n">
        <v>0.00255487</v>
      </c>
      <c r="BB49" s="15" t="n">
        <v>0.00252932</v>
      </c>
      <c r="BC49" s="15" t="n">
        <v>0.00250402</v>
      </c>
      <c r="BD49" s="15" t="n">
        <v>0.00247898</v>
      </c>
      <c r="BE49" s="15" t="n">
        <v>0.00245419</v>
      </c>
      <c r="BF49" s="15" t="n">
        <v>0.00242965</v>
      </c>
      <c r="BG49" s="15" t="n">
        <v>0.00240536</v>
      </c>
      <c r="BH49" s="15" t="n">
        <v>0.0023813</v>
      </c>
      <c r="BI49" s="15" t="n">
        <v>0.00235749</v>
      </c>
      <c r="BJ49" s="15" t="n">
        <v>0.00233391</v>
      </c>
      <c r="BK49" s="15" t="n">
        <v>0.00231058</v>
      </c>
      <c r="BL49" s="15" t="n">
        <v>0.00228747</v>
      </c>
      <c r="BM49" s="15" t="n">
        <v>0.00226459</v>
      </c>
      <c r="BN49" s="15" t="n">
        <v>0.00224195</v>
      </c>
      <c r="BO49" s="15" t="n">
        <v>0.00221953</v>
      </c>
      <c r="BP49" s="15" t="n">
        <v>0.00219733</v>
      </c>
      <c r="BQ49" s="15" t="n">
        <v>0.00217536</v>
      </c>
      <c r="BR49" s="15" t="n">
        <v>0.00215361</v>
      </c>
      <c r="BS49" s="15" t="n">
        <v>0.00213207</v>
      </c>
      <c r="BT49" s="15" t="n">
        <v>0.00211075</v>
      </c>
      <c r="BU49" s="15" t="n">
        <v>0.00208964</v>
      </c>
      <c r="BV49" s="15" t="n">
        <v>0.00206875</v>
      </c>
      <c r="BW49" s="15" t="n">
        <v>0.00204806</v>
      </c>
      <c r="BX49" s="15" t="n">
        <v>0.00202758</v>
      </c>
    </row>
    <row r="50">
      <c r="A50" t="n">
        <v>67</v>
      </c>
      <c r="B50" s="15" t="n">
        <v>0.00490779</v>
      </c>
      <c r="C50" s="15" t="n">
        <v>0.00483561</v>
      </c>
      <c r="D50" s="15" t="n">
        <v>0.00476842</v>
      </c>
      <c r="E50" s="15" t="n">
        <v>0.00470587</v>
      </c>
      <c r="F50" s="15" t="n">
        <v>0.00464756</v>
      </c>
      <c r="G50" s="15" t="n">
        <v>0.00459305</v>
      </c>
      <c r="H50" s="15" t="n">
        <v>0.00454183</v>
      </c>
      <c r="I50" s="15" t="n">
        <v>0.00449336</v>
      </c>
      <c r="J50" s="15" t="n">
        <v>0.00444703</v>
      </c>
      <c r="K50" s="15" t="n">
        <v>0.00440221</v>
      </c>
      <c r="L50" s="15" t="n">
        <v>0.00435819</v>
      </c>
      <c r="M50" s="15" t="n">
        <v>0.0043146</v>
      </c>
      <c r="N50" s="15" t="n">
        <v>0.00427146</v>
      </c>
      <c r="O50" s="15" t="n">
        <v>0.00422874</v>
      </c>
      <c r="P50" s="15" t="n">
        <v>0.00418646</v>
      </c>
      <c r="Q50" s="15" t="n">
        <v>0.00414459</v>
      </c>
      <c r="R50" s="15" t="n">
        <v>0.00410315</v>
      </c>
      <c r="S50" s="15" t="n">
        <v>0.00406211</v>
      </c>
      <c r="T50" s="15" t="n">
        <v>0.00402149</v>
      </c>
      <c r="U50" s="15" t="n">
        <v>0.00398128</v>
      </c>
      <c r="V50" s="15" t="n">
        <v>0.00394147</v>
      </c>
      <c r="W50" s="15" t="n">
        <v>0.00390205</v>
      </c>
      <c r="X50" s="15" t="n">
        <v>0.00386303</v>
      </c>
      <c r="Y50" s="15" t="n">
        <v>0.0038244</v>
      </c>
      <c r="Z50" s="15" t="n">
        <v>0.00378616</v>
      </c>
      <c r="AA50" s="15" t="n">
        <v>0.00374829</v>
      </c>
      <c r="AB50" s="15" t="n">
        <v>0.00371081</v>
      </c>
      <c r="AC50" s="15" t="n">
        <v>0.0036737</v>
      </c>
      <c r="AD50" s="15" t="n">
        <v>0.00363697</v>
      </c>
      <c r="AE50" s="15" t="n">
        <v>0.0036006</v>
      </c>
      <c r="AF50" s="15" t="n">
        <v>0.00356459</v>
      </c>
      <c r="AG50" s="15" t="n">
        <v>0.00352894</v>
      </c>
      <c r="AH50" s="15" t="n">
        <v>0.00349366</v>
      </c>
      <c r="AI50" s="15" t="n">
        <v>0.00345872</v>
      </c>
      <c r="AJ50" s="15" t="n">
        <v>0.00342413</v>
      </c>
      <c r="AK50" s="15" t="n">
        <v>0.00338989</v>
      </c>
      <c r="AL50" s="15" t="n">
        <v>0.00335599</v>
      </c>
      <c r="AM50" s="15" t="n">
        <v>0.00332243</v>
      </c>
      <c r="AN50" s="15" t="n">
        <v>0.00328921</v>
      </c>
      <c r="AO50" s="15" t="n">
        <v>0.00325632</v>
      </c>
      <c r="AP50" s="15" t="n">
        <v>0.00322375</v>
      </c>
      <c r="AQ50" s="15" t="n">
        <v>0.00319151</v>
      </c>
      <c r="AR50" s="15" t="n">
        <v>0.0031596</v>
      </c>
      <c r="AS50" s="15" t="n">
        <v>0.003128</v>
      </c>
      <c r="AT50" s="15" t="n">
        <v>0.00309672</v>
      </c>
      <c r="AU50" s="15" t="n">
        <v>0.00306576</v>
      </c>
      <c r="AV50" s="15" t="n">
        <v>0.0030351</v>
      </c>
      <c r="AW50" s="15" t="n">
        <v>0.00300475</v>
      </c>
      <c r="AX50" s="15" t="n">
        <v>0.0029747</v>
      </c>
      <c r="AY50" s="15" t="n">
        <v>0.00294495</v>
      </c>
      <c r="AZ50" s="15" t="n">
        <v>0.0029155</v>
      </c>
      <c r="BA50" s="15" t="n">
        <v>0.00288635</v>
      </c>
      <c r="BB50" s="15" t="n">
        <v>0.00285749</v>
      </c>
      <c r="BC50" s="15" t="n">
        <v>0.00282891</v>
      </c>
      <c r="BD50" s="15" t="n">
        <v>0.00280062</v>
      </c>
      <c r="BE50" s="15" t="n">
        <v>0.00277261</v>
      </c>
      <c r="BF50" s="15" t="n">
        <v>0.00274489</v>
      </c>
      <c r="BG50" s="15" t="n">
        <v>0.00271744</v>
      </c>
      <c r="BH50" s="15" t="n">
        <v>0.00269027</v>
      </c>
      <c r="BI50" s="15" t="n">
        <v>0.00266336</v>
      </c>
      <c r="BJ50" s="15" t="n">
        <v>0.00263673</v>
      </c>
      <c r="BK50" s="15" t="n">
        <v>0.00261036</v>
      </c>
      <c r="BL50" s="15" t="n">
        <v>0.00258426</v>
      </c>
      <c r="BM50" s="15" t="n">
        <v>0.00255842</v>
      </c>
      <c r="BN50" s="15" t="n">
        <v>0.00253283</v>
      </c>
      <c r="BO50" s="15" t="n">
        <v>0.0025075</v>
      </c>
      <c r="BP50" s="15" t="n">
        <v>0.00248243</v>
      </c>
      <c r="BQ50" s="15" t="n">
        <v>0.0024576</v>
      </c>
      <c r="BR50" s="15" t="n">
        <v>0.00243303</v>
      </c>
      <c r="BS50" s="15" t="n">
        <v>0.0024087</v>
      </c>
      <c r="BT50" s="15" t="n">
        <v>0.00238461</v>
      </c>
      <c r="BU50" s="15" t="n">
        <v>0.00236076</v>
      </c>
      <c r="BV50" s="15" t="n">
        <v>0.00233716</v>
      </c>
      <c r="BW50" s="15" t="n">
        <v>0.00231379</v>
      </c>
      <c r="BX50" s="15" t="n">
        <v>0.00229065</v>
      </c>
    </row>
    <row r="51">
      <c r="A51" t="n">
        <v>68</v>
      </c>
      <c r="B51" s="15" t="n">
        <v>0.00557007</v>
      </c>
      <c r="C51" s="15" t="n">
        <v>0.00548827</v>
      </c>
      <c r="D51" s="15" t="n">
        <v>0.0054121</v>
      </c>
      <c r="E51" s="15" t="n">
        <v>0.00534118</v>
      </c>
      <c r="F51" s="15" t="n">
        <v>0.00527505</v>
      </c>
      <c r="G51" s="15" t="n">
        <v>0.00521323</v>
      </c>
      <c r="H51" s="15" t="n">
        <v>0.00515512</v>
      </c>
      <c r="I51" s="15" t="n">
        <v>0.00510012</v>
      </c>
      <c r="J51" s="15" t="n">
        <v>0.00504755</v>
      </c>
      <c r="K51" s="15" t="n">
        <v>0.00499667</v>
      </c>
      <c r="L51" s="15" t="n">
        <v>0.0049467</v>
      </c>
      <c r="M51" s="15" t="n">
        <v>0.00489723</v>
      </c>
      <c r="N51" s="15" t="n">
        <v>0.00484826</v>
      </c>
      <c r="O51" s="15" t="n">
        <v>0.00479978</v>
      </c>
      <c r="P51" s="15" t="n">
        <v>0.00475178</v>
      </c>
      <c r="Q51" s="15" t="n">
        <v>0.00470426</v>
      </c>
      <c r="R51" s="15" t="n">
        <v>0.00465722</v>
      </c>
      <c r="S51" s="15" t="n">
        <v>0.00461065</v>
      </c>
      <c r="T51" s="15" t="n">
        <v>0.00456454</v>
      </c>
      <c r="U51" s="15" t="n">
        <v>0.0045189</v>
      </c>
      <c r="V51" s="15" t="n">
        <v>0.00447371</v>
      </c>
      <c r="W51" s="15" t="n">
        <v>0.00442897</v>
      </c>
      <c r="X51" s="15" t="n">
        <v>0.00438468</v>
      </c>
      <c r="Y51" s="15" t="n">
        <v>0.00434083</v>
      </c>
      <c r="Z51" s="15" t="n">
        <v>0.00429743</v>
      </c>
      <c r="AA51" s="15" t="n">
        <v>0.00425445</v>
      </c>
      <c r="AB51" s="15" t="n">
        <v>0.00421191</v>
      </c>
      <c r="AC51" s="15" t="n">
        <v>0.00416979</v>
      </c>
      <c r="AD51" s="15" t="n">
        <v>0.00412809</v>
      </c>
      <c r="AE51" s="15" t="n">
        <v>0.00408681</v>
      </c>
      <c r="AF51" s="15" t="n">
        <v>0.00404594</v>
      </c>
      <c r="AG51" s="15" t="n">
        <v>0.00400548</v>
      </c>
      <c r="AH51" s="15" t="n">
        <v>0.00396543</v>
      </c>
      <c r="AI51" s="15" t="n">
        <v>0.00392577</v>
      </c>
      <c r="AJ51" s="15" t="n">
        <v>0.00388651</v>
      </c>
      <c r="AK51" s="15" t="n">
        <v>0.00384765</v>
      </c>
      <c r="AL51" s="15" t="n">
        <v>0.00380917</v>
      </c>
      <c r="AM51" s="15" t="n">
        <v>0.00377108</v>
      </c>
      <c r="AN51" s="15" t="n">
        <v>0.00373337</v>
      </c>
      <c r="AO51" s="15" t="n">
        <v>0.00369604</v>
      </c>
      <c r="AP51" s="15" t="n">
        <v>0.00365908</v>
      </c>
      <c r="AQ51" s="15" t="n">
        <v>0.00362249</v>
      </c>
      <c r="AR51" s="15" t="n">
        <v>0.00358626</v>
      </c>
      <c r="AS51" s="15" t="n">
        <v>0.0035504</v>
      </c>
      <c r="AT51" s="15" t="n">
        <v>0.00351489</v>
      </c>
      <c r="AU51" s="15" t="n">
        <v>0.00347975</v>
      </c>
      <c r="AV51" s="15" t="n">
        <v>0.00344495</v>
      </c>
      <c r="AW51" s="15" t="n">
        <v>0.0034105</v>
      </c>
      <c r="AX51" s="15" t="n">
        <v>0.00337639</v>
      </c>
      <c r="AY51" s="15" t="n">
        <v>0.00334263</v>
      </c>
      <c r="AZ51" s="15" t="n">
        <v>0.0033092</v>
      </c>
      <c r="BA51" s="15" t="n">
        <v>0.00327611</v>
      </c>
      <c r="BB51" s="15" t="n">
        <v>0.00324335</v>
      </c>
      <c r="BC51" s="15" t="n">
        <v>0.00321092</v>
      </c>
      <c r="BD51" s="15" t="n">
        <v>0.00317881</v>
      </c>
      <c r="BE51" s="15" t="n">
        <v>0.00314702</v>
      </c>
      <c r="BF51" s="15" t="n">
        <v>0.00311555</v>
      </c>
      <c r="BG51" s="15" t="n">
        <v>0.00308439</v>
      </c>
      <c r="BH51" s="15" t="n">
        <v>0.00305355</v>
      </c>
      <c r="BI51" s="15" t="n">
        <v>0.00302301</v>
      </c>
      <c r="BJ51" s="15" t="n">
        <v>0.00299278</v>
      </c>
      <c r="BK51" s="15" t="n">
        <v>0.00296286</v>
      </c>
      <c r="BL51" s="15" t="n">
        <v>0.00293323</v>
      </c>
      <c r="BM51" s="15" t="n">
        <v>0.0029039</v>
      </c>
      <c r="BN51" s="15" t="n">
        <v>0.00287486</v>
      </c>
      <c r="BO51" s="15" t="n">
        <v>0.00284611</v>
      </c>
      <c r="BP51" s="15" t="n">
        <v>0.00281765</v>
      </c>
      <c r="BQ51" s="15" t="n">
        <v>0.00278947</v>
      </c>
      <c r="BR51" s="15" t="n">
        <v>0.00276158</v>
      </c>
      <c r="BS51" s="15" t="n">
        <v>0.00273396</v>
      </c>
      <c r="BT51" s="15" t="n">
        <v>0.00270662</v>
      </c>
      <c r="BU51" s="15" t="n">
        <v>0.00267955</v>
      </c>
      <c r="BV51" s="15" t="n">
        <v>0.00265276</v>
      </c>
      <c r="BW51" s="15" t="n">
        <v>0.00262623</v>
      </c>
      <c r="BX51" s="15" t="n">
        <v>0.00259997</v>
      </c>
    </row>
    <row r="52">
      <c r="A52" t="n">
        <v>69</v>
      </c>
      <c r="B52" s="15" t="n">
        <v>0.00635611</v>
      </c>
      <c r="C52" s="15" t="n">
        <v>0.00626282</v>
      </c>
      <c r="D52" s="15" t="n">
        <v>0.00617594</v>
      </c>
      <c r="E52" s="15" t="n">
        <v>0.00609504</v>
      </c>
      <c r="F52" s="15" t="n">
        <v>0.00601962</v>
      </c>
      <c r="G52" s="15" t="n">
        <v>0.00594908</v>
      </c>
      <c r="H52" s="15" t="n">
        <v>0.00588279</v>
      </c>
      <c r="I52" s="15" t="n">
        <v>0.00582003</v>
      </c>
      <c r="J52" s="15" t="n">
        <v>0.00576004</v>
      </c>
      <c r="K52" s="15" t="n">
        <v>0.00570198</v>
      </c>
      <c r="L52" s="15" t="n">
        <v>0.00564496</v>
      </c>
      <c r="M52" s="15" t="n">
        <v>0.00558851</v>
      </c>
      <c r="N52" s="15" t="n">
        <v>0.00553262</v>
      </c>
      <c r="O52" s="15" t="n">
        <v>0.0054773</v>
      </c>
      <c r="P52" s="15" t="n">
        <v>0.00542252</v>
      </c>
      <c r="Q52" s="15" t="n">
        <v>0.0053683</v>
      </c>
      <c r="R52" s="15" t="n">
        <v>0.00531462</v>
      </c>
      <c r="S52" s="15" t="n">
        <v>0.00526147</v>
      </c>
      <c r="T52" s="15" t="n">
        <v>0.00520885</v>
      </c>
      <c r="U52" s="15" t="n">
        <v>0.00515677</v>
      </c>
      <c r="V52" s="15" t="n">
        <v>0.0051052</v>
      </c>
      <c r="W52" s="15" t="n">
        <v>0.00505415</v>
      </c>
      <c r="X52" s="15" t="n">
        <v>0.0050036</v>
      </c>
      <c r="Y52" s="15" t="n">
        <v>0.00495357</v>
      </c>
      <c r="Z52" s="15" t="n">
        <v>0.00490403</v>
      </c>
      <c r="AA52" s="15" t="n">
        <v>0.00485499</v>
      </c>
      <c r="AB52" s="15" t="n">
        <v>0.00480644</v>
      </c>
      <c r="AC52" s="15" t="n">
        <v>0.00475838</v>
      </c>
      <c r="AD52" s="15" t="n">
        <v>0.00471079</v>
      </c>
      <c r="AE52" s="15" t="n">
        <v>0.00466369</v>
      </c>
      <c r="AF52" s="15" t="n">
        <v>0.00461705</v>
      </c>
      <c r="AG52" s="15" t="n">
        <v>0.00457088</v>
      </c>
      <c r="AH52" s="15" t="n">
        <v>0.00452517</v>
      </c>
      <c r="AI52" s="15" t="n">
        <v>0.00447992</v>
      </c>
      <c r="AJ52" s="15" t="n">
        <v>0.00443512</v>
      </c>
      <c r="AK52" s="15" t="n">
        <v>0.00439077</v>
      </c>
      <c r="AL52" s="15" t="n">
        <v>0.00434686</v>
      </c>
      <c r="AM52" s="15" t="n">
        <v>0.00430339</v>
      </c>
      <c r="AN52" s="15" t="n">
        <v>0.00426036</v>
      </c>
      <c r="AO52" s="15" t="n">
        <v>0.00421775</v>
      </c>
      <c r="AP52" s="15" t="n">
        <v>0.00417558</v>
      </c>
      <c r="AQ52" s="15" t="n">
        <v>0.00413382</v>
      </c>
      <c r="AR52" s="15" t="n">
        <v>0.00409248</v>
      </c>
      <c r="AS52" s="15" t="n">
        <v>0.00405156</v>
      </c>
      <c r="AT52" s="15" t="n">
        <v>0.00401104</v>
      </c>
      <c r="AU52" s="15" t="n">
        <v>0.00397093</v>
      </c>
      <c r="AV52" s="15" t="n">
        <v>0.00393122</v>
      </c>
      <c r="AW52" s="15" t="n">
        <v>0.00389191</v>
      </c>
      <c r="AX52" s="15" t="n">
        <v>0.00385299</v>
      </c>
      <c r="AY52" s="15" t="n">
        <v>0.00381446</v>
      </c>
      <c r="AZ52" s="15" t="n">
        <v>0.00377632</v>
      </c>
      <c r="BA52" s="15" t="n">
        <v>0.00373855</v>
      </c>
      <c r="BB52" s="15" t="n">
        <v>0.00370117</v>
      </c>
      <c r="BC52" s="15" t="n">
        <v>0.00366416</v>
      </c>
      <c r="BD52" s="15" t="n">
        <v>0.00362752</v>
      </c>
      <c r="BE52" s="15" t="n">
        <v>0.00359124</v>
      </c>
      <c r="BF52" s="15" t="n">
        <v>0.00355533</v>
      </c>
      <c r="BG52" s="15" t="n">
        <v>0.00351977</v>
      </c>
      <c r="BH52" s="15" t="n">
        <v>0.00348458</v>
      </c>
      <c r="BI52" s="15" t="n">
        <v>0.00344973</v>
      </c>
      <c r="BJ52" s="15" t="n">
        <v>0.00341523</v>
      </c>
      <c r="BK52" s="15" t="n">
        <v>0.00338108</v>
      </c>
      <c r="BL52" s="15" t="n">
        <v>0.00334727</v>
      </c>
      <c r="BM52" s="15" t="n">
        <v>0.0033138</v>
      </c>
      <c r="BN52" s="15" t="n">
        <v>0.00328066</v>
      </c>
      <c r="BO52" s="15" t="n">
        <v>0.00324785</v>
      </c>
      <c r="BP52" s="15" t="n">
        <v>0.00321537</v>
      </c>
      <c r="BQ52" s="15" t="n">
        <v>0.00318322</v>
      </c>
      <c r="BR52" s="15" t="n">
        <v>0.00315139</v>
      </c>
      <c r="BS52" s="15" t="n">
        <v>0.00311987</v>
      </c>
      <c r="BT52" s="15" t="n">
        <v>0.00308868</v>
      </c>
      <c r="BU52" s="15" t="n">
        <v>0.00305779</v>
      </c>
      <c r="BV52" s="15" t="n">
        <v>0.00302721</v>
      </c>
      <c r="BW52" s="15" t="n">
        <v>0.00299694</v>
      </c>
      <c r="BX52" s="15" t="n">
        <v>0.00296697</v>
      </c>
    </row>
    <row r="53">
      <c r="A53" t="n">
        <v>70</v>
      </c>
      <c r="B53" s="15" t="n">
        <v>0.00725027</v>
      </c>
      <c r="C53" s="15" t="n">
        <v>0.00714385</v>
      </c>
      <c r="D53" s="15" t="n">
        <v>0.00704475</v>
      </c>
      <c r="E53" s="15" t="n">
        <v>0.00695247</v>
      </c>
      <c r="F53" s="15" t="n">
        <v>0.00686644</v>
      </c>
      <c r="G53" s="15" t="n">
        <v>0.00678598</v>
      </c>
      <c r="H53" s="15" t="n">
        <v>0.00671036</v>
      </c>
      <c r="I53" s="15" t="n">
        <v>0.00663877</v>
      </c>
      <c r="J53" s="15" t="n">
        <v>0.00657034</v>
      </c>
      <c r="K53" s="15" t="n">
        <v>0.00650411</v>
      </c>
      <c r="L53" s="15" t="n">
        <v>0.00643907</v>
      </c>
      <c r="M53" s="15" t="n">
        <v>0.00637468</v>
      </c>
      <c r="N53" s="15" t="n">
        <v>0.00631093</v>
      </c>
      <c r="O53" s="15" t="n">
        <v>0.00624782</v>
      </c>
      <c r="P53" s="15" t="n">
        <v>0.00618535</v>
      </c>
      <c r="Q53" s="15" t="n">
        <v>0.00612349</v>
      </c>
      <c r="R53" s="15" t="n">
        <v>0.00606226</v>
      </c>
      <c r="S53" s="15" t="n">
        <v>0.00600164</v>
      </c>
      <c r="T53" s="15" t="n">
        <v>0.00594162</v>
      </c>
      <c r="U53" s="15" t="n">
        <v>0.0058822</v>
      </c>
      <c r="V53" s="15" t="n">
        <v>0.00582338</v>
      </c>
      <c r="W53" s="15" t="n">
        <v>0.00576515</v>
      </c>
      <c r="X53" s="15" t="n">
        <v>0.0057075</v>
      </c>
      <c r="Y53" s="15" t="n">
        <v>0.00565042</v>
      </c>
      <c r="Z53" s="15" t="n">
        <v>0.00559392</v>
      </c>
      <c r="AA53" s="15" t="n">
        <v>0.00553798</v>
      </c>
      <c r="AB53" s="15" t="n">
        <v>0.0054826</v>
      </c>
      <c r="AC53" s="15" t="n">
        <v>0.00542777</v>
      </c>
      <c r="AD53" s="15" t="n">
        <v>0.00537349</v>
      </c>
      <c r="AE53" s="15" t="n">
        <v>0.00531976</v>
      </c>
      <c r="AF53" s="15" t="n">
        <v>0.00526656</v>
      </c>
      <c r="AG53" s="15" t="n">
        <v>0.0052139</v>
      </c>
      <c r="AH53" s="15" t="n">
        <v>0.00516176</v>
      </c>
      <c r="AI53" s="15" t="n">
        <v>0.00511014</v>
      </c>
      <c r="AJ53" s="15" t="n">
        <v>0.00505904</v>
      </c>
      <c r="AK53" s="15" t="n">
        <v>0.00500845</v>
      </c>
      <c r="AL53" s="15" t="n">
        <v>0.00495836</v>
      </c>
      <c r="AM53" s="15" t="n">
        <v>0.00490878</v>
      </c>
      <c r="AN53" s="15" t="n">
        <v>0.00485969</v>
      </c>
      <c r="AO53" s="15" t="n">
        <v>0.00481109</v>
      </c>
      <c r="AP53" s="15" t="n">
        <v>0.00476298</v>
      </c>
      <c r="AQ53" s="15" t="n">
        <v>0.00471535</v>
      </c>
      <c r="AR53" s="15" t="n">
        <v>0.0046682</v>
      </c>
      <c r="AS53" s="15" t="n">
        <v>0.00462152</v>
      </c>
      <c r="AT53" s="15" t="n">
        <v>0.0045753</v>
      </c>
      <c r="AU53" s="15" t="n">
        <v>0.00452955</v>
      </c>
      <c r="AV53" s="15" t="n">
        <v>0.00448425</v>
      </c>
      <c r="AW53" s="15" t="n">
        <v>0.00443941</v>
      </c>
      <c r="AX53" s="15" t="n">
        <v>0.00439502</v>
      </c>
      <c r="AY53" s="15" t="n">
        <v>0.00435107</v>
      </c>
      <c r="AZ53" s="15" t="n">
        <v>0.00430756</v>
      </c>
      <c r="BA53" s="15" t="n">
        <v>0.00426448</v>
      </c>
      <c r="BB53" s="15" t="n">
        <v>0.00422184</v>
      </c>
      <c r="BC53" s="15" t="n">
        <v>0.00417962</v>
      </c>
      <c r="BD53" s="15" t="n">
        <v>0.00413782</v>
      </c>
      <c r="BE53" s="15" t="n">
        <v>0.00409644</v>
      </c>
      <c r="BF53" s="15" t="n">
        <v>0.00405548</v>
      </c>
      <c r="BG53" s="15" t="n">
        <v>0.00401492</v>
      </c>
      <c r="BH53" s="15" t="n">
        <v>0.00397478</v>
      </c>
      <c r="BI53" s="15" t="n">
        <v>0.00393503</v>
      </c>
      <c r="BJ53" s="15" t="n">
        <v>0.00389568</v>
      </c>
      <c r="BK53" s="15" t="n">
        <v>0.00385672</v>
      </c>
      <c r="BL53" s="15" t="n">
        <v>0.00381815</v>
      </c>
      <c r="BM53" s="15" t="n">
        <v>0.00377997</v>
      </c>
      <c r="BN53" s="15" t="n">
        <v>0.00374217</v>
      </c>
      <c r="BO53" s="15" t="n">
        <v>0.00370475</v>
      </c>
      <c r="BP53" s="15" t="n">
        <v>0.0036677</v>
      </c>
      <c r="BQ53" s="15" t="n">
        <v>0.00363103</v>
      </c>
      <c r="BR53" s="15" t="n">
        <v>0.00359472</v>
      </c>
      <c r="BS53" s="15" t="n">
        <v>0.00355877</v>
      </c>
      <c r="BT53" s="15" t="n">
        <v>0.00352318</v>
      </c>
      <c r="BU53" s="15" t="n">
        <v>0.00348795</v>
      </c>
      <c r="BV53" s="15" t="n">
        <v>0.00345307</v>
      </c>
      <c r="BW53" s="15" t="n">
        <v>0.00341854</v>
      </c>
      <c r="BX53" s="15" t="n">
        <v>0.00338435</v>
      </c>
    </row>
    <row r="54">
      <c r="A54" t="n">
        <v>71</v>
      </c>
      <c r="B54" s="15" t="n">
        <v>0.008183090000000001</v>
      </c>
      <c r="C54" s="15" t="n">
        <v>0.008062929999999999</v>
      </c>
      <c r="D54" s="15" t="n">
        <v>0.007951049999999999</v>
      </c>
      <c r="E54" s="15" t="n">
        <v>0.007846870000000001</v>
      </c>
      <c r="F54" s="15" t="n">
        <v>0.00774975</v>
      </c>
      <c r="G54" s="15" t="n">
        <v>0.00765892</v>
      </c>
      <c r="H54" s="15" t="n">
        <v>0.00757356</v>
      </c>
      <c r="I54" s="15" t="n">
        <v>0.00749276</v>
      </c>
      <c r="J54" s="15" t="n">
        <v>0.00741552</v>
      </c>
      <c r="K54" s="15" t="n">
        <v>0.00734077</v>
      </c>
      <c r="L54" s="15" t="n">
        <v>0.00726737</v>
      </c>
      <c r="M54" s="15" t="n">
        <v>0.00719469</v>
      </c>
      <c r="N54" s="15" t="n">
        <v>0.00712275</v>
      </c>
      <c r="O54" s="15" t="n">
        <v>0.00705152</v>
      </c>
      <c r="P54" s="15" t="n">
        <v>0.006981</v>
      </c>
      <c r="Q54" s="15" t="n">
        <v>0.00691119</v>
      </c>
      <c r="R54" s="15" t="n">
        <v>0.00684208</v>
      </c>
      <c r="S54" s="15" t="n">
        <v>0.00677366</v>
      </c>
      <c r="T54" s="15" t="n">
        <v>0.00670592</v>
      </c>
      <c r="U54" s="15" t="n">
        <v>0.00663886</v>
      </c>
      <c r="V54" s="15" t="n">
        <v>0.00657248</v>
      </c>
      <c r="W54" s="15" t="n">
        <v>0.00650675</v>
      </c>
      <c r="X54" s="15" t="n">
        <v>0.00644168</v>
      </c>
      <c r="Y54" s="15" t="n">
        <v>0.00637727</v>
      </c>
      <c r="Z54" s="15" t="n">
        <v>0.00631349</v>
      </c>
      <c r="AA54" s="15" t="n">
        <v>0.00625036</v>
      </c>
      <c r="AB54" s="15" t="n">
        <v>0.00618786</v>
      </c>
      <c r="AC54" s="15" t="n">
        <v>0.00612598</v>
      </c>
      <c r="AD54" s="15" t="n">
        <v>0.00606472</v>
      </c>
      <c r="AE54" s="15" t="n">
        <v>0.00600407</v>
      </c>
      <c r="AF54" s="15" t="n">
        <v>0.00594403</v>
      </c>
      <c r="AG54" s="15" t="n">
        <v>0.00588459</v>
      </c>
      <c r="AH54" s="15" t="n">
        <v>0.00582574</v>
      </c>
      <c r="AI54" s="15" t="n">
        <v>0.00576749</v>
      </c>
      <c r="AJ54" s="15" t="n">
        <v>0.00570981</v>
      </c>
      <c r="AK54" s="15" t="n">
        <v>0.00565271</v>
      </c>
      <c r="AL54" s="15" t="n">
        <v>0.00559619</v>
      </c>
      <c r="AM54" s="15" t="n">
        <v>0.00554022</v>
      </c>
      <c r="AN54" s="15" t="n">
        <v>0.00548482</v>
      </c>
      <c r="AO54" s="15" t="n">
        <v>0.00542997</v>
      </c>
      <c r="AP54" s="15" t="n">
        <v>0.00537567</v>
      </c>
      <c r="AQ54" s="15" t="n">
        <v>0.00532192</v>
      </c>
      <c r="AR54" s="15" t="n">
        <v>0.0052687</v>
      </c>
      <c r="AS54" s="15" t="n">
        <v>0.00521601</v>
      </c>
      <c r="AT54" s="15" t="n">
        <v>0.00516385</v>
      </c>
      <c r="AU54" s="15" t="n">
        <v>0.00511221</v>
      </c>
      <c r="AV54" s="15" t="n">
        <v>0.00506109</v>
      </c>
      <c r="AW54" s="15" t="n">
        <v>0.00501048</v>
      </c>
      <c r="AX54" s="15" t="n">
        <v>0.00496037</v>
      </c>
      <c r="AY54" s="15" t="n">
        <v>0.00491077</v>
      </c>
      <c r="AZ54" s="15" t="n">
        <v>0.00486166</v>
      </c>
      <c r="BA54" s="15" t="n">
        <v>0.00481305</v>
      </c>
      <c r="BB54" s="15" t="n">
        <v>0.00476492</v>
      </c>
      <c r="BC54" s="15" t="n">
        <v>0.00471727</v>
      </c>
      <c r="BD54" s="15" t="n">
        <v>0.00467009</v>
      </c>
      <c r="BE54" s="15" t="n">
        <v>0.00462339</v>
      </c>
      <c r="BF54" s="15" t="n">
        <v>0.00457716</v>
      </c>
      <c r="BG54" s="15" t="n">
        <v>0.00453139</v>
      </c>
      <c r="BH54" s="15" t="n">
        <v>0.00448607</v>
      </c>
      <c r="BI54" s="15" t="n">
        <v>0.00444121</v>
      </c>
      <c r="BJ54" s="15" t="n">
        <v>0.0043968</v>
      </c>
      <c r="BK54" s="15" t="n">
        <v>0.00435283</v>
      </c>
      <c r="BL54" s="15" t="n">
        <v>0.0043093</v>
      </c>
      <c r="BM54" s="15" t="n">
        <v>0.00426621</v>
      </c>
      <c r="BN54" s="15" t="n">
        <v>0.00422355</v>
      </c>
      <c r="BO54" s="15" t="n">
        <v>0.00418131</v>
      </c>
      <c r="BP54" s="15" t="n">
        <v>0.0041395</v>
      </c>
      <c r="BQ54" s="15" t="n">
        <v>0.00409811</v>
      </c>
      <c r="BR54" s="15" t="n">
        <v>0.00405712</v>
      </c>
      <c r="BS54" s="15" t="n">
        <v>0.00401655</v>
      </c>
      <c r="BT54" s="15" t="n">
        <v>0.00397639</v>
      </c>
      <c r="BU54" s="15" t="n">
        <v>0.00393662</v>
      </c>
      <c r="BV54" s="15" t="n">
        <v>0.00389726</v>
      </c>
      <c r="BW54" s="15" t="n">
        <v>0.00385828</v>
      </c>
      <c r="BX54" s="15" t="n">
        <v>0.0038197</v>
      </c>
    </row>
    <row r="55">
      <c r="A55" t="n">
        <v>72</v>
      </c>
      <c r="B55" s="15" t="n">
        <v>0.009101369999999999</v>
      </c>
      <c r="C55" s="15" t="n">
        <v>0.008967660000000001</v>
      </c>
      <c r="D55" s="15" t="n">
        <v>0.008843169999999999</v>
      </c>
      <c r="E55" s="15" t="n">
        <v>0.008727270000000001</v>
      </c>
      <c r="F55" s="15" t="n">
        <v>0.00861921</v>
      </c>
      <c r="G55" s="15" t="n">
        <v>0.00851816</v>
      </c>
      <c r="H55" s="15" t="n">
        <v>0.00842322</v>
      </c>
      <c r="I55" s="15" t="n">
        <v>0.00833334</v>
      </c>
      <c r="J55" s="15" t="n">
        <v>0.00824743</v>
      </c>
      <c r="K55" s="15" t="n">
        <v>0.008164299999999999</v>
      </c>
      <c r="L55" s="15" t="n">
        <v>0.00808266</v>
      </c>
      <c r="M55" s="15" t="n">
        <v>0.00800183</v>
      </c>
      <c r="N55" s="15" t="n">
        <v>0.00792181</v>
      </c>
      <c r="O55" s="15" t="n">
        <v>0.00784259</v>
      </c>
      <c r="P55" s="15" t="n">
        <v>0.00776417</v>
      </c>
      <c r="Q55" s="15" t="n">
        <v>0.00768653</v>
      </c>
      <c r="R55" s="15" t="n">
        <v>0.00760966</v>
      </c>
      <c r="S55" s="15" t="n">
        <v>0.00753356</v>
      </c>
      <c r="T55" s="15" t="n">
        <v>0.00745823</v>
      </c>
      <c r="U55" s="15" t="n">
        <v>0.00738365</v>
      </c>
      <c r="V55" s="15" t="n">
        <v>0.00730981</v>
      </c>
      <c r="W55" s="15" t="n">
        <v>0.00723671</v>
      </c>
      <c r="X55" s="15" t="n">
        <v>0.00716435</v>
      </c>
      <c r="Y55" s="15" t="n">
        <v>0.0070927</v>
      </c>
      <c r="Z55" s="15" t="n">
        <v>0.00702177</v>
      </c>
      <c r="AA55" s="15" t="n">
        <v>0.00695156</v>
      </c>
      <c r="AB55" s="15" t="n">
        <v>0.00688204</v>
      </c>
      <c r="AC55" s="15" t="n">
        <v>0.00681322</v>
      </c>
      <c r="AD55" s="15" t="n">
        <v>0.00674509</v>
      </c>
      <c r="AE55" s="15" t="n">
        <v>0.00667764</v>
      </c>
      <c r="AF55" s="15" t="n">
        <v>0.00661086</v>
      </c>
      <c r="AG55" s="15" t="n">
        <v>0.00654475</v>
      </c>
      <c r="AH55" s="15" t="n">
        <v>0.00647931</v>
      </c>
      <c r="AI55" s="15" t="n">
        <v>0.00641451</v>
      </c>
      <c r="AJ55" s="15" t="n">
        <v>0.00635037</v>
      </c>
      <c r="AK55" s="15" t="n">
        <v>0.00628686</v>
      </c>
      <c r="AL55" s="15" t="n">
        <v>0.00622399</v>
      </c>
      <c r="AM55" s="15" t="n">
        <v>0.00616176</v>
      </c>
      <c r="AN55" s="15" t="n">
        <v>0.00610014</v>
      </c>
      <c r="AO55" s="15" t="n">
        <v>0.00603914</v>
      </c>
      <c r="AP55" s="15" t="n">
        <v>0.00597874</v>
      </c>
      <c r="AQ55" s="15" t="n">
        <v>0.00591896</v>
      </c>
      <c r="AR55" s="15" t="n">
        <v>0.00585977</v>
      </c>
      <c r="AS55" s="15" t="n">
        <v>0.00580117</v>
      </c>
      <c r="AT55" s="15" t="n">
        <v>0.00574316</v>
      </c>
      <c r="AU55" s="15" t="n">
        <v>0.00568573</v>
      </c>
      <c r="AV55" s="15" t="n">
        <v>0.00562887</v>
      </c>
      <c r="AW55" s="15" t="n">
        <v>0.00557258</v>
      </c>
      <c r="AX55" s="15" t="n">
        <v>0.00551685</v>
      </c>
      <c r="AY55" s="15" t="n">
        <v>0.00546169</v>
      </c>
      <c r="AZ55" s="15" t="n">
        <v>0.00540707</v>
      </c>
      <c r="BA55" s="15" t="n">
        <v>0.005353</v>
      </c>
      <c r="BB55" s="15" t="n">
        <v>0.00529947</v>
      </c>
      <c r="BC55" s="15" t="n">
        <v>0.00524647</v>
      </c>
      <c r="BD55" s="15" t="n">
        <v>0.00519401</v>
      </c>
      <c r="BE55" s="15" t="n">
        <v>0.00514207</v>
      </c>
      <c r="BF55" s="15" t="n">
        <v>0.00509065</v>
      </c>
      <c r="BG55" s="15" t="n">
        <v>0.00503974</v>
      </c>
      <c r="BH55" s="15" t="n">
        <v>0.00498934</v>
      </c>
      <c r="BI55" s="15" t="n">
        <v>0.00493945</v>
      </c>
      <c r="BJ55" s="15" t="n">
        <v>0.00489006</v>
      </c>
      <c r="BK55" s="15" t="n">
        <v>0.00484116</v>
      </c>
      <c r="BL55" s="15" t="n">
        <v>0.00479274</v>
      </c>
      <c r="BM55" s="15" t="n">
        <v>0.00474482</v>
      </c>
      <c r="BN55" s="15" t="n">
        <v>0.00469737</v>
      </c>
      <c r="BO55" s="15" t="n">
        <v>0.0046504</v>
      </c>
      <c r="BP55" s="15" t="n">
        <v>0.00460389</v>
      </c>
      <c r="BQ55" s="15" t="n">
        <v>0.00455785</v>
      </c>
      <c r="BR55" s="15" t="n">
        <v>0.00451227</v>
      </c>
      <c r="BS55" s="15" t="n">
        <v>0.00446715</v>
      </c>
      <c r="BT55" s="15" t="n">
        <v>0.00442248</v>
      </c>
      <c r="BU55" s="15" t="n">
        <v>0.00437825</v>
      </c>
      <c r="BV55" s="15" t="n">
        <v>0.00433447</v>
      </c>
      <c r="BW55" s="15" t="n">
        <v>0.00429113</v>
      </c>
      <c r="BX55" s="15" t="n">
        <v>0.00424822</v>
      </c>
    </row>
    <row r="56">
      <c r="A56" t="n">
        <v>73</v>
      </c>
      <c r="B56" s="15" t="n">
        <v>0.01004566</v>
      </c>
      <c r="C56" s="15" t="n">
        <v>0.00989802</v>
      </c>
      <c r="D56" s="15" t="n">
        <v>0.00976057</v>
      </c>
      <c r="E56" s="15" t="n">
        <v>0.0096326</v>
      </c>
      <c r="F56" s="15" t="n">
        <v>0.009513310000000001</v>
      </c>
      <c r="G56" s="15" t="n">
        <v>0.00940177</v>
      </c>
      <c r="H56" s="15" t="n">
        <v>0.00929695</v>
      </c>
      <c r="I56" s="15" t="n">
        <v>0.009197759999999999</v>
      </c>
      <c r="J56" s="15" t="n">
        <v>0.00910294</v>
      </c>
      <c r="K56" s="15" t="n">
        <v>0.009011180000000001</v>
      </c>
      <c r="L56" s="15" t="n">
        <v>0.00892107</v>
      </c>
      <c r="M56" s="15" t="n">
        <v>0.00883186</v>
      </c>
      <c r="N56" s="15" t="n">
        <v>0.008743539999999999</v>
      </c>
      <c r="O56" s="15" t="n">
        <v>0.0086561</v>
      </c>
      <c r="P56" s="15" t="n">
        <v>0.00856954</v>
      </c>
      <c r="Q56" s="15" t="n">
        <v>0.008483849999999999</v>
      </c>
      <c r="R56" s="15" t="n">
        <v>0.00839901</v>
      </c>
      <c r="S56" s="15" t="n">
        <v>0.008315019999999999</v>
      </c>
      <c r="T56" s="15" t="n">
        <v>0.008231870000000001</v>
      </c>
      <c r="U56" s="15" t="n">
        <v>0.00814955</v>
      </c>
      <c r="V56" s="15" t="n">
        <v>0.00806805</v>
      </c>
      <c r="W56" s="15" t="n">
        <v>0.007987370000000001</v>
      </c>
      <c r="X56" s="15" t="n">
        <v>0.0079075</v>
      </c>
      <c r="Y56" s="15" t="n">
        <v>0.007828420000000001</v>
      </c>
      <c r="Z56" s="15" t="n">
        <v>0.00775014</v>
      </c>
      <c r="AA56" s="15" t="n">
        <v>0.00767264</v>
      </c>
      <c r="AB56" s="15" t="n">
        <v>0.00759591</v>
      </c>
      <c r="AC56" s="15" t="n">
        <v>0.00751995</v>
      </c>
      <c r="AD56" s="15" t="n">
        <v>0.00744475</v>
      </c>
      <c r="AE56" s="15" t="n">
        <v>0.00737031</v>
      </c>
      <c r="AF56" s="15" t="n">
        <v>0.0072966</v>
      </c>
      <c r="AG56" s="15" t="n">
        <v>0.00722364</v>
      </c>
      <c r="AH56" s="15" t="n">
        <v>0.0071514</v>
      </c>
      <c r="AI56" s="15" t="n">
        <v>0.00707989</v>
      </c>
      <c r="AJ56" s="15" t="n">
        <v>0.00700909</v>
      </c>
      <c r="AK56" s="15" t="n">
        <v>0.006939</v>
      </c>
      <c r="AL56" s="15" t="n">
        <v>0.00686961</v>
      </c>
      <c r="AM56" s="15" t="n">
        <v>0.00680091</v>
      </c>
      <c r="AN56" s="15" t="n">
        <v>0.0067329</v>
      </c>
      <c r="AO56" s="15" t="n">
        <v>0.00666557</v>
      </c>
      <c r="AP56" s="15" t="n">
        <v>0.00659892</v>
      </c>
      <c r="AQ56" s="15" t="n">
        <v>0.00653293</v>
      </c>
      <c r="AR56" s="15" t="n">
        <v>0.0064676</v>
      </c>
      <c r="AS56" s="15" t="n">
        <v>0.00640292</v>
      </c>
      <c r="AT56" s="15" t="n">
        <v>0.00633889</v>
      </c>
      <c r="AU56" s="15" t="n">
        <v>0.0062755</v>
      </c>
      <c r="AV56" s="15" t="n">
        <v>0.00621275</v>
      </c>
      <c r="AW56" s="15" t="n">
        <v>0.00615062</v>
      </c>
      <c r="AX56" s="15" t="n">
        <v>0.00608912</v>
      </c>
      <c r="AY56" s="15" t="n">
        <v>0.00602822</v>
      </c>
      <c r="AZ56" s="15" t="n">
        <v>0.00596794</v>
      </c>
      <c r="BA56" s="15" t="n">
        <v>0.00590826</v>
      </c>
      <c r="BB56" s="15" t="n">
        <v>0.00584918</v>
      </c>
      <c r="BC56" s="15" t="n">
        <v>0.00579069</v>
      </c>
      <c r="BD56" s="15" t="n">
        <v>0.00573278</v>
      </c>
      <c r="BE56" s="15" t="n">
        <v>0.00567545</v>
      </c>
      <c r="BF56" s="15" t="n">
        <v>0.0056187</v>
      </c>
      <c r="BG56" s="15" t="n">
        <v>0.00556251</v>
      </c>
      <c r="BH56" s="15" t="n">
        <v>0.00550689</v>
      </c>
      <c r="BI56" s="15" t="n">
        <v>0.00545182</v>
      </c>
      <c r="BJ56" s="15" t="n">
        <v>0.0053973</v>
      </c>
      <c r="BK56" s="15" t="n">
        <v>0.00534333</v>
      </c>
      <c r="BL56" s="15" t="n">
        <v>0.00528989</v>
      </c>
      <c r="BM56" s="15" t="n">
        <v>0.00523699</v>
      </c>
      <c r="BN56" s="15" t="n">
        <v>0.00518462</v>
      </c>
      <c r="BO56" s="15" t="n">
        <v>0.00513278</v>
      </c>
      <c r="BP56" s="15" t="n">
        <v>0.00508145</v>
      </c>
      <c r="BQ56" s="15" t="n">
        <v>0.00503064</v>
      </c>
      <c r="BR56" s="15" t="n">
        <v>0.00498033</v>
      </c>
      <c r="BS56" s="15" t="n">
        <v>0.00493053</v>
      </c>
      <c r="BT56" s="15" t="n">
        <v>0.00488122</v>
      </c>
      <c r="BU56" s="15" t="n">
        <v>0.00483241</v>
      </c>
      <c r="BV56" s="15" t="n">
        <v>0.00478408</v>
      </c>
      <c r="BW56" s="15" t="n">
        <v>0.00473624</v>
      </c>
      <c r="BX56" s="15" t="n">
        <v>0.00468888</v>
      </c>
    </row>
    <row r="57">
      <c r="A57" t="n">
        <v>74</v>
      </c>
      <c r="B57" s="15" t="n">
        <v>0.01112954</v>
      </c>
      <c r="C57" s="15" t="n">
        <v>0.01096601</v>
      </c>
      <c r="D57" s="15" t="n">
        <v>0.01081376</v>
      </c>
      <c r="E57" s="15" t="n">
        <v>0.010672</v>
      </c>
      <c r="F57" s="15" t="n">
        <v>0.01053985</v>
      </c>
      <c r="G57" s="15" t="n">
        <v>0.01041628</v>
      </c>
      <c r="H57" s="15" t="n">
        <v>0.01030017</v>
      </c>
      <c r="I57" s="15" t="n">
        <v>0.01019027</v>
      </c>
      <c r="J57" s="15" t="n">
        <v>0.01008522</v>
      </c>
      <c r="K57" s="15" t="n">
        <v>0.009983560000000001</v>
      </c>
      <c r="L57" s="15" t="n">
        <v>0.00988372</v>
      </c>
      <c r="M57" s="15" t="n">
        <v>0.009784889999999999</v>
      </c>
      <c r="N57" s="15" t="n">
        <v>0.009687039999999999</v>
      </c>
      <c r="O57" s="15" t="n">
        <v>0.00959017</v>
      </c>
      <c r="P57" s="15" t="n">
        <v>0.009494270000000001</v>
      </c>
      <c r="Q57" s="15" t="n">
        <v>0.009399319999999999</v>
      </c>
      <c r="R57" s="15" t="n">
        <v>0.009305330000000001</v>
      </c>
      <c r="S57" s="15" t="n">
        <v>0.00921228</v>
      </c>
      <c r="T57" s="15" t="n">
        <v>0.00912015</v>
      </c>
      <c r="U57" s="15" t="n">
        <v>0.009028950000000001</v>
      </c>
      <c r="V57" s="15" t="n">
        <v>0.008938659999999999</v>
      </c>
      <c r="W57" s="15" t="n">
        <v>0.008849279999999999</v>
      </c>
      <c r="X57" s="15" t="n">
        <v>0.008760779999999999</v>
      </c>
      <c r="Y57" s="15" t="n">
        <v>0.008673180000000001</v>
      </c>
      <c r="Z57" s="15" t="n">
        <v>0.008586440000000001</v>
      </c>
      <c r="AA57" s="15" t="n">
        <v>0.008500580000000001</v>
      </c>
      <c r="AB57" s="15" t="n">
        <v>0.008415570000000001</v>
      </c>
      <c r="AC57" s="15" t="n">
        <v>0.008331420000000001</v>
      </c>
      <c r="AD57" s="15" t="n">
        <v>0.0082481</v>
      </c>
      <c r="AE57" s="15" t="n">
        <v>0.00816562</v>
      </c>
      <c r="AF57" s="15" t="n">
        <v>0.008083969999999999</v>
      </c>
      <c r="AG57" s="15" t="n">
        <v>0.008003130000000001</v>
      </c>
      <c r="AH57" s="15" t="n">
        <v>0.007923100000000001</v>
      </c>
      <c r="AI57" s="15" t="n">
        <v>0.007843859999999999</v>
      </c>
      <c r="AJ57" s="15" t="n">
        <v>0.00776543</v>
      </c>
      <c r="AK57" s="15" t="n">
        <v>0.00768777</v>
      </c>
      <c r="AL57" s="15" t="n">
        <v>0.00761089</v>
      </c>
      <c r="AM57" s="15" t="n">
        <v>0.00753478</v>
      </c>
      <c r="AN57" s="15" t="n">
        <v>0.00745944</v>
      </c>
      <c r="AO57" s="15" t="n">
        <v>0.00738484</v>
      </c>
      <c r="AP57" s="15" t="n">
        <v>0.00731099</v>
      </c>
      <c r="AQ57" s="15" t="n">
        <v>0.00723788</v>
      </c>
      <c r="AR57" s="15" t="n">
        <v>0.00716551</v>
      </c>
      <c r="AS57" s="15" t="n">
        <v>0.00709385</v>
      </c>
      <c r="AT57" s="15" t="n">
        <v>0.00702291</v>
      </c>
      <c r="AU57" s="15" t="n">
        <v>0.00695268</v>
      </c>
      <c r="AV57" s="15" t="n">
        <v>0.00688316</v>
      </c>
      <c r="AW57" s="15" t="n">
        <v>0.00681432</v>
      </c>
      <c r="AX57" s="15" t="n">
        <v>0.00674618</v>
      </c>
      <c r="AY57" s="15" t="n">
        <v>0.00667872</v>
      </c>
      <c r="AZ57" s="15" t="n">
        <v>0.00661193</v>
      </c>
      <c r="BA57" s="15" t="n">
        <v>0.00654581</v>
      </c>
      <c r="BB57" s="15" t="n">
        <v>0.00648035</v>
      </c>
      <c r="BC57" s="15" t="n">
        <v>0.00641555</v>
      </c>
      <c r="BD57" s="15" t="n">
        <v>0.0063514</v>
      </c>
      <c r="BE57" s="15" t="n">
        <v>0.00628788</v>
      </c>
      <c r="BF57" s="15" t="n">
        <v>0.006225</v>
      </c>
      <c r="BG57" s="15" t="n">
        <v>0.00616275</v>
      </c>
      <c r="BH57" s="15" t="n">
        <v>0.00610113</v>
      </c>
      <c r="BI57" s="15" t="n">
        <v>0.00604011</v>
      </c>
      <c r="BJ57" s="15" t="n">
        <v>0.00597971</v>
      </c>
      <c r="BK57" s="15" t="n">
        <v>0.00591992</v>
      </c>
      <c r="BL57" s="15" t="n">
        <v>0.00586072</v>
      </c>
      <c r="BM57" s="15" t="n">
        <v>0.00580211</v>
      </c>
      <c r="BN57" s="15" t="n">
        <v>0.00574409</v>
      </c>
      <c r="BO57" s="15" t="n">
        <v>0.00568665</v>
      </c>
      <c r="BP57" s="15" t="n">
        <v>0.00562978</v>
      </c>
      <c r="BQ57" s="15" t="n">
        <v>0.00557348</v>
      </c>
      <c r="BR57" s="15" t="n">
        <v>0.00551775</v>
      </c>
      <c r="BS57" s="15" t="n">
        <v>0.00546257</v>
      </c>
      <c r="BT57" s="15" t="n">
        <v>0.00540795</v>
      </c>
      <c r="BU57" s="15" t="n">
        <v>0.00535387</v>
      </c>
      <c r="BV57" s="15" t="n">
        <v>0.00530033</v>
      </c>
      <c r="BW57" s="15" t="n">
        <v>0.00524732</v>
      </c>
      <c r="BX57" s="15" t="n">
        <v>0.00519485</v>
      </c>
    </row>
    <row r="58">
      <c r="A58" t="n">
        <v>75</v>
      </c>
      <c r="B58" s="15" t="n">
        <v>0.01245896</v>
      </c>
      <c r="C58" s="15" t="n">
        <v>0.01227614</v>
      </c>
      <c r="D58" s="15" t="n">
        <v>0.0121059</v>
      </c>
      <c r="E58" s="15" t="n">
        <v>0.01194736</v>
      </c>
      <c r="F58" s="15" t="n">
        <v>0.01179953</v>
      </c>
      <c r="G58" s="15" t="n">
        <v>0.01166129</v>
      </c>
      <c r="H58" s="15" t="n">
        <v>0.01153136</v>
      </c>
      <c r="I58" s="15" t="n">
        <v>0.01140835</v>
      </c>
      <c r="J58" s="15" t="n">
        <v>0.01129077</v>
      </c>
      <c r="K58" s="15" t="n">
        <v>0.01117696</v>
      </c>
      <c r="L58" s="15" t="n">
        <v>0.01106519</v>
      </c>
      <c r="M58" s="15" t="n">
        <v>0.01095454</v>
      </c>
      <c r="N58" s="15" t="n">
        <v>0.01084499</v>
      </c>
      <c r="O58" s="15" t="n">
        <v>0.01073654</v>
      </c>
      <c r="P58" s="15" t="n">
        <v>0.01062918</v>
      </c>
      <c r="Q58" s="15" t="n">
        <v>0.01052288</v>
      </c>
      <c r="R58" s="15" t="n">
        <v>0.01041765</v>
      </c>
      <c r="S58" s="15" t="n">
        <v>0.01031348</v>
      </c>
      <c r="T58" s="15" t="n">
        <v>0.01021034</v>
      </c>
      <c r="U58" s="15" t="n">
        <v>0.01010824</v>
      </c>
      <c r="V58" s="15" t="n">
        <v>0.01000716</v>
      </c>
      <c r="W58" s="15" t="n">
        <v>0.00990709</v>
      </c>
      <c r="X58" s="15" t="n">
        <v>0.009808020000000001</v>
      </c>
      <c r="Y58" s="15" t="n">
        <v>0.00970994</v>
      </c>
      <c r="Z58" s="15" t="n">
        <v>0.009612839999999999</v>
      </c>
      <c r="AA58" s="15" t="n">
        <v>0.009516709999999999</v>
      </c>
      <c r="AB58" s="15" t="n">
        <v>0.009421540000000001</v>
      </c>
      <c r="AC58" s="15" t="n">
        <v>0.00932733</v>
      </c>
      <c r="AD58" s="15" t="n">
        <v>0.009234050000000001</v>
      </c>
      <c r="AE58" s="15" t="n">
        <v>0.009141710000000001</v>
      </c>
      <c r="AF58" s="15" t="n">
        <v>0.009050290000000001</v>
      </c>
      <c r="AG58" s="15" t="n">
        <v>0.00895979</v>
      </c>
      <c r="AH58" s="15" t="n">
        <v>0.00887019</v>
      </c>
      <c r="AI58" s="15" t="n">
        <v>0.008781489999999999</v>
      </c>
      <c r="AJ58" s="15" t="n">
        <v>0.008693680000000001</v>
      </c>
      <c r="AK58" s="15" t="n">
        <v>0.00860674</v>
      </c>
      <c r="AL58" s="15" t="n">
        <v>0.008520669999999999</v>
      </c>
      <c r="AM58" s="15" t="n">
        <v>0.00843547</v>
      </c>
      <c r="AN58" s="15" t="n">
        <v>0.00835111</v>
      </c>
      <c r="AO58" s="15" t="n">
        <v>0.0082676</v>
      </c>
      <c r="AP58" s="15" t="n">
        <v>0.00818492</v>
      </c>
      <c r="AQ58" s="15" t="n">
        <v>0.00810307</v>
      </c>
      <c r="AR58" s="15" t="n">
        <v>0.008022039999999999</v>
      </c>
      <c r="AS58" s="15" t="n">
        <v>0.00794182</v>
      </c>
      <c r="AT58" s="15" t="n">
        <v>0.00786241</v>
      </c>
      <c r="AU58" s="15" t="n">
        <v>0.00778378</v>
      </c>
      <c r="AV58" s="15" t="n">
        <v>0.00770594</v>
      </c>
      <c r="AW58" s="15" t="n">
        <v>0.00762888</v>
      </c>
      <c r="AX58" s="15" t="n">
        <v>0.0075526</v>
      </c>
      <c r="AY58" s="15" t="n">
        <v>0.00747707</v>
      </c>
      <c r="AZ58" s="15" t="n">
        <v>0.0074023</v>
      </c>
      <c r="BA58" s="15" t="n">
        <v>0.00732828</v>
      </c>
      <c r="BB58" s="15" t="n">
        <v>0.00725499</v>
      </c>
      <c r="BC58" s="15" t="n">
        <v>0.00718244</v>
      </c>
      <c r="BD58" s="15" t="n">
        <v>0.00711062</v>
      </c>
      <c r="BE58" s="15" t="n">
        <v>0.00703951</v>
      </c>
      <c r="BF58" s="15" t="n">
        <v>0.00696912</v>
      </c>
      <c r="BG58" s="15" t="n">
        <v>0.00689943</v>
      </c>
      <c r="BH58" s="15" t="n">
        <v>0.00683043</v>
      </c>
      <c r="BI58" s="15" t="n">
        <v>0.00676213</v>
      </c>
      <c r="BJ58" s="15" t="n">
        <v>0.00669451</v>
      </c>
      <c r="BK58" s="15" t="n">
        <v>0.00662756</v>
      </c>
      <c r="BL58" s="15" t="n">
        <v>0.00656129</v>
      </c>
      <c r="BM58" s="15" t="n">
        <v>0.00649567</v>
      </c>
      <c r="BN58" s="15" t="n">
        <v>0.00643072</v>
      </c>
      <c r="BO58" s="15" t="n">
        <v>0.00636641</v>
      </c>
      <c r="BP58" s="15" t="n">
        <v>0.00630274</v>
      </c>
      <c r="BQ58" s="15" t="n">
        <v>0.00623972</v>
      </c>
      <c r="BR58" s="15" t="n">
        <v>0.00617732</v>
      </c>
      <c r="BS58" s="15" t="n">
        <v>0.00611555</v>
      </c>
      <c r="BT58" s="15" t="n">
        <v>0.00605439</v>
      </c>
      <c r="BU58" s="15" t="n">
        <v>0.00599385</v>
      </c>
      <c r="BV58" s="15" t="n">
        <v>0.00593391</v>
      </c>
      <c r="BW58" s="15" t="n">
        <v>0.00587457</v>
      </c>
      <c r="BX58" s="15" t="n">
        <v>0.00581582</v>
      </c>
    </row>
    <row r="59">
      <c r="A59" t="n">
        <v>76</v>
      </c>
      <c r="B59" s="15" t="n">
        <v>0.01410292</v>
      </c>
      <c r="C59" s="15" t="n">
        <v>0.0138966</v>
      </c>
      <c r="D59" s="15" t="n">
        <v>0.0137044</v>
      </c>
      <c r="E59" s="15" t="n">
        <v>0.01352534</v>
      </c>
      <c r="F59" s="15" t="n">
        <v>0.0133583</v>
      </c>
      <c r="G59" s="15" t="n">
        <v>0.01320201</v>
      </c>
      <c r="H59" s="15" t="n">
        <v>0.01305506</v>
      </c>
      <c r="I59" s="15" t="n">
        <v>0.01291588</v>
      </c>
      <c r="J59" s="15" t="n">
        <v>0.01278278</v>
      </c>
      <c r="K59" s="15" t="n">
        <v>0.01265394</v>
      </c>
      <c r="L59" s="15" t="n">
        <v>0.0125274</v>
      </c>
      <c r="M59" s="15" t="n">
        <v>0.01240213</v>
      </c>
      <c r="N59" s="15" t="n">
        <v>0.01227811</v>
      </c>
      <c r="O59" s="15" t="n">
        <v>0.01215533</v>
      </c>
      <c r="P59" s="15" t="n">
        <v>0.01203377</v>
      </c>
      <c r="Q59" s="15" t="n">
        <v>0.01191343</v>
      </c>
      <c r="R59" s="15" t="n">
        <v>0.0117943</v>
      </c>
      <c r="S59" s="15" t="n">
        <v>0.01167636</v>
      </c>
      <c r="T59" s="15" t="n">
        <v>0.01155959</v>
      </c>
      <c r="U59" s="15" t="n">
        <v>0.011444</v>
      </c>
      <c r="V59" s="15" t="n">
        <v>0.01132956</v>
      </c>
      <c r="W59" s="15" t="n">
        <v>0.01121626</v>
      </c>
      <c r="X59" s="15" t="n">
        <v>0.0111041</v>
      </c>
      <c r="Y59" s="15" t="n">
        <v>0.01099306</v>
      </c>
      <c r="Z59" s="15" t="n">
        <v>0.01088313</v>
      </c>
      <c r="AA59" s="15" t="n">
        <v>0.0107743</v>
      </c>
      <c r="AB59" s="15" t="n">
        <v>0.01066655</v>
      </c>
      <c r="AC59" s="15" t="n">
        <v>0.01055989</v>
      </c>
      <c r="AD59" s="15" t="n">
        <v>0.01045429</v>
      </c>
      <c r="AE59" s="15" t="n">
        <v>0.01034975</v>
      </c>
      <c r="AF59" s="15" t="n">
        <v>0.01024625</v>
      </c>
      <c r="AG59" s="15" t="n">
        <v>0.01014379</v>
      </c>
      <c r="AH59" s="15" t="n">
        <v>0.01004235</v>
      </c>
      <c r="AI59" s="15" t="n">
        <v>0.00994192</v>
      </c>
      <c r="AJ59" s="15" t="n">
        <v>0.00984251</v>
      </c>
      <c r="AK59" s="15" t="n">
        <v>0.00974408</v>
      </c>
      <c r="AL59" s="15" t="n">
        <v>0.00964664</v>
      </c>
      <c r="AM59" s="15" t="n">
        <v>0.00955017</v>
      </c>
      <c r="AN59" s="15" t="n">
        <v>0.00945467</v>
      </c>
      <c r="AO59" s="15" t="n">
        <v>0.00936012</v>
      </c>
      <c r="AP59" s="15" t="n">
        <v>0.00926652</v>
      </c>
      <c r="AQ59" s="15" t="n">
        <v>0.009173860000000001</v>
      </c>
      <c r="AR59" s="15" t="n">
        <v>0.009082120000000001</v>
      </c>
      <c r="AS59" s="15" t="n">
        <v>0.008991300000000001</v>
      </c>
      <c r="AT59" s="15" t="n">
        <v>0.00890139</v>
      </c>
      <c r="AU59" s="15" t="n">
        <v>0.00881237</v>
      </c>
      <c r="AV59" s="15" t="n">
        <v>0.008724249999999999</v>
      </c>
      <c r="AW59" s="15" t="n">
        <v>0.008637010000000001</v>
      </c>
      <c r="AX59" s="15" t="n">
        <v>0.00855064</v>
      </c>
      <c r="AY59" s="15" t="n">
        <v>0.00846513</v>
      </c>
      <c r="AZ59" s="15" t="n">
        <v>0.008380479999999999</v>
      </c>
      <c r="BA59" s="15" t="n">
        <v>0.008296670000000001</v>
      </c>
      <c r="BB59" s="15" t="n">
        <v>0.008213710000000001</v>
      </c>
      <c r="BC59" s="15" t="n">
        <v>0.008131569999999999</v>
      </c>
      <c r="BD59" s="15" t="n">
        <v>0.00805025</v>
      </c>
      <c r="BE59" s="15" t="n">
        <v>0.007969749999999999</v>
      </c>
      <c r="BF59" s="15" t="n">
        <v>0.007890049999999999</v>
      </c>
      <c r="BG59" s="15" t="n">
        <v>0.00781115</v>
      </c>
      <c r="BH59" s="15" t="n">
        <v>0.00773304</v>
      </c>
      <c r="BI59" s="15" t="n">
        <v>0.00765571</v>
      </c>
      <c r="BJ59" s="15" t="n">
        <v>0.00757915</v>
      </c>
      <c r="BK59" s="15" t="n">
        <v>0.00750336</v>
      </c>
      <c r="BL59" s="15" t="n">
        <v>0.00742833</v>
      </c>
      <c r="BM59" s="15" t="n">
        <v>0.00735405</v>
      </c>
      <c r="BN59" s="15" t="n">
        <v>0.00728051</v>
      </c>
      <c r="BO59" s="15" t="n">
        <v>0.0072077</v>
      </c>
      <c r="BP59" s="15" t="n">
        <v>0.00713562</v>
      </c>
      <c r="BQ59" s="15" t="n">
        <v>0.00706427</v>
      </c>
      <c r="BR59" s="15" t="n">
        <v>0.00699362</v>
      </c>
      <c r="BS59" s="15" t="n">
        <v>0.00692369</v>
      </c>
      <c r="BT59" s="15" t="n">
        <v>0.00685445</v>
      </c>
      <c r="BU59" s="15" t="n">
        <v>0.00678591</v>
      </c>
      <c r="BV59" s="15" t="n">
        <v>0.00671805</v>
      </c>
      <c r="BW59" s="15" t="n">
        <v>0.00665087</v>
      </c>
      <c r="BX59" s="15" t="n">
        <v>0.00658436</v>
      </c>
    </row>
    <row r="60">
      <c r="A60" t="n">
        <v>77</v>
      </c>
      <c r="B60" s="15" t="n">
        <v>0.01606314</v>
      </c>
      <c r="C60" s="15" t="n">
        <v>0.01582944</v>
      </c>
      <c r="D60" s="15" t="n">
        <v>0.01561155</v>
      </c>
      <c r="E60" s="15" t="n">
        <v>0.01540839</v>
      </c>
      <c r="F60" s="15" t="n">
        <v>0.01521871</v>
      </c>
      <c r="G60" s="15" t="n">
        <v>0.0150411</v>
      </c>
      <c r="H60" s="15" t="n">
        <v>0.01487396</v>
      </c>
      <c r="I60" s="15" t="n">
        <v>0.01471557</v>
      </c>
      <c r="J60" s="15" t="n">
        <v>0.01456401</v>
      </c>
      <c r="K60" s="15" t="n">
        <v>0.01441725</v>
      </c>
      <c r="L60" s="15" t="n">
        <v>0.01427308</v>
      </c>
      <c r="M60" s="15" t="n">
        <v>0.01413035</v>
      </c>
      <c r="N60" s="15" t="n">
        <v>0.01398904</v>
      </c>
      <c r="O60" s="15" t="n">
        <v>0.01384915</v>
      </c>
      <c r="P60" s="15" t="n">
        <v>0.01371066</v>
      </c>
      <c r="Q60" s="15" t="n">
        <v>0.01357356</v>
      </c>
      <c r="R60" s="15" t="n">
        <v>0.01343782</v>
      </c>
      <c r="S60" s="15" t="n">
        <v>0.01330344</v>
      </c>
      <c r="T60" s="15" t="n">
        <v>0.01317041</v>
      </c>
      <c r="U60" s="15" t="n">
        <v>0.0130387</v>
      </c>
      <c r="V60" s="15" t="n">
        <v>0.01290832</v>
      </c>
      <c r="W60" s="15" t="n">
        <v>0.01277923</v>
      </c>
      <c r="X60" s="15" t="n">
        <v>0.01265144</v>
      </c>
      <c r="Y60" s="15" t="n">
        <v>0.01252493</v>
      </c>
      <c r="Z60" s="15" t="n">
        <v>0.01239968</v>
      </c>
      <c r="AA60" s="15" t="n">
        <v>0.01227568</v>
      </c>
      <c r="AB60" s="15" t="n">
        <v>0.01215292</v>
      </c>
      <c r="AC60" s="15" t="n">
        <v>0.01203139</v>
      </c>
      <c r="AD60" s="15" t="n">
        <v>0.01191108</v>
      </c>
      <c r="AE60" s="15" t="n">
        <v>0.01179197</v>
      </c>
      <c r="AF60" s="15" t="n">
        <v>0.01167405</v>
      </c>
      <c r="AG60" s="15" t="n">
        <v>0.01155731</v>
      </c>
      <c r="AH60" s="15" t="n">
        <v>0.01144174</v>
      </c>
      <c r="AI60" s="15" t="n">
        <v>0.01132732</v>
      </c>
      <c r="AJ60" s="15" t="n">
        <v>0.01121405</v>
      </c>
      <c r="AK60" s="15" t="n">
        <v>0.0111019</v>
      </c>
      <c r="AL60" s="15" t="n">
        <v>0.01099089</v>
      </c>
      <c r="AM60" s="15" t="n">
        <v>0.01088098</v>
      </c>
      <c r="AN60" s="15" t="n">
        <v>0.01077217</v>
      </c>
      <c r="AO60" s="15" t="n">
        <v>0.01066445</v>
      </c>
      <c r="AP60" s="15" t="n">
        <v>0.0105578</v>
      </c>
      <c r="AQ60" s="15" t="n">
        <v>0.01045222</v>
      </c>
      <c r="AR60" s="15" t="n">
        <v>0.0103477</v>
      </c>
      <c r="AS60" s="15" t="n">
        <v>0.01024422</v>
      </c>
      <c r="AT60" s="15" t="n">
        <v>0.01014178</v>
      </c>
      <c r="AU60" s="15" t="n">
        <v>0.01004036</v>
      </c>
      <c r="AV60" s="15" t="n">
        <v>0.009939959999999999</v>
      </c>
      <c r="AW60" s="15" t="n">
        <v>0.00984056</v>
      </c>
      <c r="AX60" s="15" t="n">
        <v>0.00974215</v>
      </c>
      <c r="AY60" s="15" t="n">
        <v>0.009644730000000001</v>
      </c>
      <c r="AZ60" s="15" t="n">
        <v>0.009548289999999999</v>
      </c>
      <c r="BA60" s="15" t="n">
        <v>0.009452800000000001</v>
      </c>
      <c r="BB60" s="15" t="n">
        <v>0.00935828</v>
      </c>
      <c r="BC60" s="15" t="n">
        <v>0.009264690000000001</v>
      </c>
      <c r="BD60" s="15" t="n">
        <v>0.009172049999999999</v>
      </c>
      <c r="BE60" s="15" t="n">
        <v>0.009080329999999999</v>
      </c>
      <c r="BF60" s="15" t="n">
        <v>0.008989520000000001</v>
      </c>
      <c r="BG60" s="15" t="n">
        <v>0.00889963</v>
      </c>
      <c r="BH60" s="15" t="n">
        <v>0.00881063</v>
      </c>
      <c r="BI60" s="15" t="n">
        <v>0.008722519999999999</v>
      </c>
      <c r="BJ60" s="15" t="n">
        <v>0.0086353</v>
      </c>
      <c r="BK60" s="15" t="n">
        <v>0.00854895</v>
      </c>
      <c r="BL60" s="15" t="n">
        <v>0.008463460000000001</v>
      </c>
      <c r="BM60" s="15" t="n">
        <v>0.00837882</v>
      </c>
      <c r="BN60" s="15" t="n">
        <v>0.00829503</v>
      </c>
      <c r="BO60" s="15" t="n">
        <v>0.00821208</v>
      </c>
      <c r="BP60" s="15" t="n">
        <v>0.00812996</v>
      </c>
      <c r="BQ60" s="15" t="n">
        <v>0.008048659999999999</v>
      </c>
      <c r="BR60" s="15" t="n">
        <v>0.00796818</v>
      </c>
      <c r="BS60" s="15" t="n">
        <v>0.00788849</v>
      </c>
      <c r="BT60" s="15" t="n">
        <v>0.00780961</v>
      </c>
      <c r="BU60" s="15" t="n">
        <v>0.00773151</v>
      </c>
      <c r="BV60" s="15" t="n">
        <v>0.0076542</v>
      </c>
      <c r="BW60" s="15" t="n">
        <v>0.00757766</v>
      </c>
      <c r="BX60" s="15" t="n">
        <v>0.00750188</v>
      </c>
    </row>
    <row r="61">
      <c r="A61" t="n">
        <v>78</v>
      </c>
      <c r="B61" s="15" t="n">
        <v>0.01831255</v>
      </c>
      <c r="C61" s="15" t="n">
        <v>0.01804832</v>
      </c>
      <c r="D61" s="15" t="n">
        <v>0.01780167</v>
      </c>
      <c r="E61" s="15" t="n">
        <v>0.01757142</v>
      </c>
      <c r="F61" s="15" t="n">
        <v>0.01735619</v>
      </c>
      <c r="G61" s="15" t="n">
        <v>0.01715441</v>
      </c>
      <c r="H61" s="15" t="n">
        <v>0.0169643</v>
      </c>
      <c r="I61" s="15" t="n">
        <v>0.01678394</v>
      </c>
      <c r="J61" s="15" t="n">
        <v>0.01661122</v>
      </c>
      <c r="K61" s="15" t="n">
        <v>0.01644386</v>
      </c>
      <c r="L61" s="15" t="n">
        <v>0.01627942</v>
      </c>
      <c r="M61" s="15" t="n">
        <v>0.01611662</v>
      </c>
      <c r="N61" s="15" t="n">
        <v>0.01595546</v>
      </c>
      <c r="O61" s="15" t="n">
        <v>0.0157959</v>
      </c>
      <c r="P61" s="15" t="n">
        <v>0.01563794</v>
      </c>
      <c r="Q61" s="15" t="n">
        <v>0.01548157</v>
      </c>
      <c r="R61" s="15" t="n">
        <v>0.01532675</v>
      </c>
      <c r="S61" s="15" t="n">
        <v>0.01517348</v>
      </c>
      <c r="T61" s="15" t="n">
        <v>0.01502175</v>
      </c>
      <c r="U61" s="15" t="n">
        <v>0.01487153</v>
      </c>
      <c r="V61" s="15" t="n">
        <v>0.01472281</v>
      </c>
      <c r="W61" s="15" t="n">
        <v>0.01457559</v>
      </c>
      <c r="X61" s="15" t="n">
        <v>0.01442983</v>
      </c>
      <c r="Y61" s="15" t="n">
        <v>0.01428553</v>
      </c>
      <c r="Z61" s="15" t="n">
        <v>0.01414268</v>
      </c>
      <c r="AA61" s="15" t="n">
        <v>0.01400125</v>
      </c>
      <c r="AB61" s="15" t="n">
        <v>0.01386124</v>
      </c>
      <c r="AC61" s="15" t="n">
        <v>0.01372263</v>
      </c>
      <c r="AD61" s="15" t="n">
        <v>0.0135854</v>
      </c>
      <c r="AE61" s="15" t="n">
        <v>0.01344955</v>
      </c>
      <c r="AF61" s="15" t="n">
        <v>0.01331505</v>
      </c>
      <c r="AG61" s="15" t="n">
        <v>0.0131819</v>
      </c>
      <c r="AH61" s="15" t="n">
        <v>0.01305008</v>
      </c>
      <c r="AI61" s="15" t="n">
        <v>0.01291958</v>
      </c>
      <c r="AJ61" s="15" t="n">
        <v>0.01279038</v>
      </c>
      <c r="AK61" s="15" t="n">
        <v>0.01266248</v>
      </c>
      <c r="AL61" s="15" t="n">
        <v>0.01253585</v>
      </c>
      <c r="AM61" s="15" t="n">
        <v>0.0124105</v>
      </c>
      <c r="AN61" s="15" t="n">
        <v>0.01228639</v>
      </c>
      <c r="AO61" s="15" t="n">
        <v>0.01216353</v>
      </c>
      <c r="AP61" s="15" t="n">
        <v>0.01204189</v>
      </c>
      <c r="AQ61" s="15" t="n">
        <v>0.01192147</v>
      </c>
      <c r="AR61" s="15" t="n">
        <v>0.01180226</v>
      </c>
      <c r="AS61" s="15" t="n">
        <v>0.01168424</v>
      </c>
      <c r="AT61" s="15" t="n">
        <v>0.01156739</v>
      </c>
      <c r="AU61" s="15" t="n">
        <v>0.01145172</v>
      </c>
      <c r="AV61" s="15" t="n">
        <v>0.0113372</v>
      </c>
      <c r="AW61" s="15" t="n">
        <v>0.01122383</v>
      </c>
      <c r="AX61" s="15" t="n">
        <v>0.01111159</v>
      </c>
      <c r="AY61" s="15" t="n">
        <v>0.01100048</v>
      </c>
      <c r="AZ61" s="15" t="n">
        <v>0.01089047</v>
      </c>
      <c r="BA61" s="15" t="n">
        <v>0.01078157</v>
      </c>
      <c r="BB61" s="15" t="n">
        <v>0.01067375</v>
      </c>
      <c r="BC61" s="15" t="n">
        <v>0.01056701</v>
      </c>
      <c r="BD61" s="15" t="n">
        <v>0.01046134</v>
      </c>
      <c r="BE61" s="15" t="n">
        <v>0.01035673</v>
      </c>
      <c r="BF61" s="15" t="n">
        <v>0.01025316</v>
      </c>
      <c r="BG61" s="15" t="n">
        <v>0.01015063</v>
      </c>
      <c r="BH61" s="15" t="n">
        <v>0.01004912</v>
      </c>
      <c r="BI61" s="15" t="n">
        <v>0.00994863</v>
      </c>
      <c r="BJ61" s="15" t="n">
        <v>0.009849149999999999</v>
      </c>
      <c r="BK61" s="15" t="n">
        <v>0.00975066</v>
      </c>
      <c r="BL61" s="15" t="n">
        <v>0.009653149999999999</v>
      </c>
      <c r="BM61" s="15" t="n">
        <v>0.00955662</v>
      </c>
      <c r="BN61" s="15" t="n">
        <v>0.00946105</v>
      </c>
      <c r="BO61" s="15" t="n">
        <v>0.00936644</v>
      </c>
      <c r="BP61" s="15" t="n">
        <v>0.00927278</v>
      </c>
      <c r="BQ61" s="15" t="n">
        <v>0.00918005</v>
      </c>
      <c r="BR61" s="15" t="n">
        <v>0.009088250000000001</v>
      </c>
      <c r="BS61" s="15" t="n">
        <v>0.008997369999999999</v>
      </c>
      <c r="BT61" s="15" t="n">
        <v>0.008907389999999999</v>
      </c>
      <c r="BU61" s="15" t="n">
        <v>0.008818319999999999</v>
      </c>
      <c r="BV61" s="15" t="n">
        <v>0.008730140000000001</v>
      </c>
      <c r="BW61" s="15" t="n">
        <v>0.008642830000000001</v>
      </c>
      <c r="BX61" s="15" t="n">
        <v>0.00855641</v>
      </c>
    </row>
    <row r="62">
      <c r="A62" t="n">
        <v>79</v>
      </c>
      <c r="B62" s="15" t="n">
        <v>0.02086057</v>
      </c>
      <c r="C62" s="15" t="n">
        <v>0.02056295</v>
      </c>
      <c r="D62" s="15" t="n">
        <v>0.02028469</v>
      </c>
      <c r="E62" s="15" t="n">
        <v>0.02002452</v>
      </c>
      <c r="F62" s="15" t="n">
        <v>0.01978088</v>
      </c>
      <c r="G62" s="15" t="n">
        <v>0.01955208</v>
      </c>
      <c r="H62" s="15" t="n">
        <v>0.01933617</v>
      </c>
      <c r="I62" s="15" t="n">
        <v>0.01913103</v>
      </c>
      <c r="J62" s="15" t="n">
        <v>0.01893434</v>
      </c>
      <c r="K62" s="15" t="n">
        <v>0.01874362</v>
      </c>
      <c r="L62" s="15" t="n">
        <v>0.01855618</v>
      </c>
      <c r="M62" s="15" t="n">
        <v>0.01837062</v>
      </c>
      <c r="N62" s="15" t="n">
        <v>0.01818691</v>
      </c>
      <c r="O62" s="15" t="n">
        <v>0.01800504</v>
      </c>
      <c r="P62" s="15" t="n">
        <v>0.01782499</v>
      </c>
      <c r="Q62" s="15" t="n">
        <v>0.01764674</v>
      </c>
      <c r="R62" s="15" t="n">
        <v>0.01747028</v>
      </c>
      <c r="S62" s="15" t="n">
        <v>0.01729557</v>
      </c>
      <c r="T62" s="15" t="n">
        <v>0.01712262</v>
      </c>
      <c r="U62" s="15" t="n">
        <v>0.01695139</v>
      </c>
      <c r="V62" s="15" t="n">
        <v>0.01678188</v>
      </c>
      <c r="W62" s="15" t="n">
        <v>0.01661406</v>
      </c>
      <c r="X62" s="15" t="n">
        <v>0.01644792</v>
      </c>
      <c r="Y62" s="15" t="n">
        <v>0.01628344</v>
      </c>
      <c r="Z62" s="15" t="n">
        <v>0.0161206</v>
      </c>
      <c r="AA62" s="15" t="n">
        <v>0.0159594</v>
      </c>
      <c r="AB62" s="15" t="n">
        <v>0.0157998</v>
      </c>
      <c r="AC62" s="15" t="n">
        <v>0.01564181</v>
      </c>
      <c r="AD62" s="15" t="n">
        <v>0.01548539</v>
      </c>
      <c r="AE62" s="15" t="n">
        <v>0.01533053</v>
      </c>
      <c r="AF62" s="15" t="n">
        <v>0.01517723</v>
      </c>
      <c r="AG62" s="15" t="n">
        <v>0.01502546</v>
      </c>
      <c r="AH62" s="15" t="n">
        <v>0.0148752</v>
      </c>
      <c r="AI62" s="15" t="n">
        <v>0.01472645</v>
      </c>
      <c r="AJ62" s="15" t="n">
        <v>0.01457919</v>
      </c>
      <c r="AK62" s="15" t="n">
        <v>0.01443339</v>
      </c>
      <c r="AL62" s="15" t="n">
        <v>0.01428906</v>
      </c>
      <c r="AM62" s="15" t="n">
        <v>0.01414617</v>
      </c>
      <c r="AN62" s="15" t="n">
        <v>0.01400471</v>
      </c>
      <c r="AO62" s="15" t="n">
        <v>0.01386466</v>
      </c>
      <c r="AP62" s="15" t="n">
        <v>0.01372601</v>
      </c>
      <c r="AQ62" s="15" t="n">
        <v>0.01358875</v>
      </c>
      <c r="AR62" s="15" t="n">
        <v>0.01345287</v>
      </c>
      <c r="AS62" s="15" t="n">
        <v>0.01331834</v>
      </c>
      <c r="AT62" s="15" t="n">
        <v>0.01318515</v>
      </c>
      <c r="AU62" s="15" t="n">
        <v>0.0130533</v>
      </c>
      <c r="AV62" s="15" t="n">
        <v>0.01292277</v>
      </c>
      <c r="AW62" s="15" t="n">
        <v>0.01279354</v>
      </c>
      <c r="AX62" s="15" t="n">
        <v>0.01266561</v>
      </c>
      <c r="AY62" s="15" t="n">
        <v>0.01253895</v>
      </c>
      <c r="AZ62" s="15" t="n">
        <v>0.01241356</v>
      </c>
      <c r="BA62" s="15" t="n">
        <v>0.01228943</v>
      </c>
      <c r="BB62" s="15" t="n">
        <v>0.01216653</v>
      </c>
      <c r="BC62" s="15" t="n">
        <v>0.01204487</v>
      </c>
      <c r="BD62" s="15" t="n">
        <v>0.01192442</v>
      </c>
      <c r="BE62" s="15" t="n">
        <v>0.01180517</v>
      </c>
      <c r="BF62" s="15" t="n">
        <v>0.01168712</v>
      </c>
      <c r="BG62" s="15" t="n">
        <v>0.01157025</v>
      </c>
      <c r="BH62" s="15" t="n">
        <v>0.01145455</v>
      </c>
      <c r="BI62" s="15" t="n">
        <v>0.01134</v>
      </c>
      <c r="BJ62" s="15" t="n">
        <v>0.0112266</v>
      </c>
      <c r="BK62" s="15" t="n">
        <v>0.01111434</v>
      </c>
      <c r="BL62" s="15" t="n">
        <v>0.01100319</v>
      </c>
      <c r="BM62" s="15" t="n">
        <v>0.01089316</v>
      </c>
      <c r="BN62" s="15" t="n">
        <v>0.01078423</v>
      </c>
      <c r="BO62" s="15" t="n">
        <v>0.01067639</v>
      </c>
      <c r="BP62" s="15" t="n">
        <v>0.01056962</v>
      </c>
      <c r="BQ62" s="15" t="n">
        <v>0.01046393</v>
      </c>
      <c r="BR62" s="15" t="n">
        <v>0.01035929</v>
      </c>
      <c r="BS62" s="15" t="n">
        <v>0.01025569</v>
      </c>
      <c r="BT62" s="15" t="n">
        <v>0.01015314</v>
      </c>
      <c r="BU62" s="15" t="n">
        <v>0.01005161</v>
      </c>
      <c r="BV62" s="15" t="n">
        <v>0.009951089999999999</v>
      </c>
      <c r="BW62" s="15" t="n">
        <v>0.00985158</v>
      </c>
      <c r="BX62" s="15" t="n">
        <v>0.009753059999999999</v>
      </c>
    </row>
    <row r="63">
      <c r="A63" t="n">
        <v>80</v>
      </c>
      <c r="B63" s="15" t="n">
        <v>0.02376664</v>
      </c>
      <c r="C63" s="15" t="n">
        <v>0.02343236</v>
      </c>
      <c r="D63" s="15" t="n">
        <v>0.02311919</v>
      </c>
      <c r="E63" s="15" t="n">
        <v>0.02282574</v>
      </c>
      <c r="F63" s="15" t="n">
        <v>0.02255037</v>
      </c>
      <c r="G63" s="15" t="n">
        <v>0.0222912</v>
      </c>
      <c r="H63" s="15" t="n">
        <v>0.02204613</v>
      </c>
      <c r="I63" s="15" t="n">
        <v>0.02181288</v>
      </c>
      <c r="J63" s="15" t="n">
        <v>0.02158893</v>
      </c>
      <c r="K63" s="15" t="n">
        <v>0.02137155</v>
      </c>
      <c r="L63" s="15" t="n">
        <v>0.02115783</v>
      </c>
      <c r="M63" s="15" t="n">
        <v>0.02094625</v>
      </c>
      <c r="N63" s="15" t="n">
        <v>0.02073679</v>
      </c>
      <c r="O63" s="15" t="n">
        <v>0.02052942</v>
      </c>
      <c r="P63" s="15" t="n">
        <v>0.02032413</v>
      </c>
      <c r="Q63" s="15" t="n">
        <v>0.02012089</v>
      </c>
      <c r="R63" s="15" t="n">
        <v>0.01991968</v>
      </c>
      <c r="S63" s="15" t="n">
        <v>0.01972048</v>
      </c>
      <c r="T63" s="15" t="n">
        <v>0.01952328</v>
      </c>
      <c r="U63" s="15" t="n">
        <v>0.01932805</v>
      </c>
      <c r="V63" s="15" t="n">
        <v>0.01913477</v>
      </c>
      <c r="W63" s="15" t="n">
        <v>0.01894342</v>
      </c>
      <c r="X63" s="15" t="n">
        <v>0.01875398</v>
      </c>
      <c r="Y63" s="15" t="n">
        <v>0.01856644</v>
      </c>
      <c r="Z63" s="15" t="n">
        <v>0.01838078</v>
      </c>
      <c r="AA63" s="15" t="n">
        <v>0.01819697</v>
      </c>
      <c r="AB63" s="15" t="n">
        <v>0.018015</v>
      </c>
      <c r="AC63" s="15" t="n">
        <v>0.01783485</v>
      </c>
      <c r="AD63" s="15" t="n">
        <v>0.0176565</v>
      </c>
      <c r="AE63" s="15" t="n">
        <v>0.01747994</v>
      </c>
      <c r="AF63" s="15" t="n">
        <v>0.01730514</v>
      </c>
      <c r="AG63" s="15" t="n">
        <v>0.01713209</v>
      </c>
      <c r="AH63" s="15" t="n">
        <v>0.01696077</v>
      </c>
      <c r="AI63" s="15" t="n">
        <v>0.01679116</v>
      </c>
      <c r="AJ63" s="15" t="n">
        <v>0.01662325</v>
      </c>
      <c r="AK63" s="15" t="n">
        <v>0.01645701</v>
      </c>
      <c r="AL63" s="15" t="n">
        <v>0.01629244</v>
      </c>
      <c r="AM63" s="15" t="n">
        <v>0.01612952</v>
      </c>
      <c r="AN63" s="15" t="n">
        <v>0.01596822</v>
      </c>
      <c r="AO63" s="15" t="n">
        <v>0.01580854</v>
      </c>
      <c r="AP63" s="15" t="n">
        <v>0.01565046</v>
      </c>
      <c r="AQ63" s="15" t="n">
        <v>0.01549395</v>
      </c>
      <c r="AR63" s="15" t="n">
        <v>0.01533901</v>
      </c>
      <c r="AS63" s="15" t="n">
        <v>0.01518562</v>
      </c>
      <c r="AT63" s="15" t="n">
        <v>0.01503377</v>
      </c>
      <c r="AU63" s="15" t="n">
        <v>0.01488343</v>
      </c>
      <c r="AV63" s="15" t="n">
        <v>0.01473459</v>
      </c>
      <c r="AW63" s="15" t="n">
        <v>0.01458725</v>
      </c>
      <c r="AX63" s="15" t="n">
        <v>0.01444138</v>
      </c>
      <c r="AY63" s="15" t="n">
        <v>0.01429696</v>
      </c>
      <c r="AZ63" s="15" t="n">
        <v>0.01415399</v>
      </c>
      <c r="BA63" s="15" t="n">
        <v>0.01401245</v>
      </c>
      <c r="BB63" s="15" t="n">
        <v>0.01387233</v>
      </c>
      <c r="BC63" s="15" t="n">
        <v>0.01373361</v>
      </c>
      <c r="BD63" s="15" t="n">
        <v>0.01359627</v>
      </c>
      <c r="BE63" s="15" t="n">
        <v>0.01346031</v>
      </c>
      <c r="BF63" s="15" t="n">
        <v>0.0133257</v>
      </c>
      <c r="BG63" s="15" t="n">
        <v>0.01319245</v>
      </c>
      <c r="BH63" s="15" t="n">
        <v>0.01306052</v>
      </c>
      <c r="BI63" s="15" t="n">
        <v>0.01292992</v>
      </c>
      <c r="BJ63" s="15" t="n">
        <v>0.01280062</v>
      </c>
      <c r="BK63" s="15" t="n">
        <v>0.01267261</v>
      </c>
      <c r="BL63" s="15" t="n">
        <v>0.01254589</v>
      </c>
      <c r="BM63" s="15" t="n">
        <v>0.01242043</v>
      </c>
      <c r="BN63" s="15" t="n">
        <v>0.01229622</v>
      </c>
      <c r="BO63" s="15" t="n">
        <v>0.01217326</v>
      </c>
      <c r="BP63" s="15" t="n">
        <v>0.01205153</v>
      </c>
      <c r="BQ63" s="15" t="n">
        <v>0.01193101</v>
      </c>
      <c r="BR63" s="15" t="n">
        <v>0.0118117</v>
      </c>
      <c r="BS63" s="15" t="n">
        <v>0.01169358</v>
      </c>
      <c r="BT63" s="15" t="n">
        <v>0.01157665</v>
      </c>
      <c r="BU63" s="15" t="n">
        <v>0.01146088</v>
      </c>
      <c r="BV63" s="15" t="n">
        <v>0.01134627</v>
      </c>
      <c r="BW63" s="15" t="n">
        <v>0.01123281</v>
      </c>
      <c r="BX63" s="15" t="n">
        <v>0.01112048</v>
      </c>
    </row>
    <row r="64">
      <c r="A64" t="n">
        <v>81</v>
      </c>
      <c r="B64" s="15" t="n">
        <v>0.02712741</v>
      </c>
      <c r="C64" s="15" t="n">
        <v>0.02675226</v>
      </c>
      <c r="D64" s="15" t="n">
        <v>0.02639996</v>
      </c>
      <c r="E64" s="15" t="n">
        <v>0.02606901</v>
      </c>
      <c r="F64" s="15" t="n">
        <v>0.02575764</v>
      </c>
      <c r="G64" s="15" t="n">
        <v>0.02546385</v>
      </c>
      <c r="H64" s="15" t="n">
        <v>0.02518538</v>
      </c>
      <c r="I64" s="15" t="n">
        <v>0.02491975</v>
      </c>
      <c r="J64" s="15" t="n">
        <v>0.02466427</v>
      </c>
      <c r="K64" s="15" t="n">
        <v>0.02441603</v>
      </c>
      <c r="L64" s="15" t="n">
        <v>0.02417187</v>
      </c>
      <c r="M64" s="15" t="n">
        <v>0.02393015</v>
      </c>
      <c r="N64" s="15" t="n">
        <v>0.02369085</v>
      </c>
      <c r="O64" s="15" t="n">
        <v>0.02345394</v>
      </c>
      <c r="P64" s="15" t="n">
        <v>0.0232194</v>
      </c>
      <c r="Q64" s="15" t="n">
        <v>0.0229872</v>
      </c>
      <c r="R64" s="15" t="n">
        <v>0.02275733</v>
      </c>
      <c r="S64" s="15" t="n">
        <v>0.02252976</v>
      </c>
      <c r="T64" s="15" t="n">
        <v>0.02230446</v>
      </c>
      <c r="U64" s="15" t="n">
        <v>0.02208142</v>
      </c>
      <c r="V64" s="15" t="n">
        <v>0.0218606</v>
      </c>
      <c r="W64" s="15" t="n">
        <v>0.021642</v>
      </c>
      <c r="X64" s="15" t="n">
        <v>0.02142558</v>
      </c>
      <c r="Y64" s="15" t="n">
        <v>0.02121132</v>
      </c>
      <c r="Z64" s="15" t="n">
        <v>0.02099921</v>
      </c>
      <c r="AA64" s="15" t="n">
        <v>0.02078922</v>
      </c>
      <c r="AB64" s="15" t="n">
        <v>0.02058132</v>
      </c>
      <c r="AC64" s="15" t="n">
        <v>0.02037551</v>
      </c>
      <c r="AD64" s="15" t="n">
        <v>0.02017175</v>
      </c>
      <c r="AE64" s="15" t="n">
        <v>0.01997004</v>
      </c>
      <c r="AF64" s="15" t="n">
        <v>0.01977034</v>
      </c>
      <c r="AG64" s="15" t="n">
        <v>0.01957263</v>
      </c>
      <c r="AH64" s="15" t="n">
        <v>0.01937691</v>
      </c>
      <c r="AI64" s="15" t="n">
        <v>0.01918314</v>
      </c>
      <c r="AJ64" s="15" t="n">
        <v>0.01899131</v>
      </c>
      <c r="AK64" s="15" t="n">
        <v>0.01880139</v>
      </c>
      <c r="AL64" s="15" t="n">
        <v>0.01861338</v>
      </c>
      <c r="AM64" s="15" t="n">
        <v>0.01842725</v>
      </c>
      <c r="AN64" s="15" t="n">
        <v>0.01824297</v>
      </c>
      <c r="AO64" s="15" t="n">
        <v>0.01806054</v>
      </c>
      <c r="AP64" s="15" t="n">
        <v>0.01787994</v>
      </c>
      <c r="AQ64" s="15" t="n">
        <v>0.01770114</v>
      </c>
      <c r="AR64" s="15" t="n">
        <v>0.01752413</v>
      </c>
      <c r="AS64" s="15" t="n">
        <v>0.01734889</v>
      </c>
      <c r="AT64" s="15" t="n">
        <v>0.0171754</v>
      </c>
      <c r="AU64" s="15" t="n">
        <v>0.01700364</v>
      </c>
      <c r="AV64" s="15" t="n">
        <v>0.01683361</v>
      </c>
      <c r="AW64" s="15" t="n">
        <v>0.01666527</v>
      </c>
      <c r="AX64" s="15" t="n">
        <v>0.01649862</v>
      </c>
      <c r="AY64" s="15" t="n">
        <v>0.01633363</v>
      </c>
      <c r="AZ64" s="15" t="n">
        <v>0.0161703</v>
      </c>
      <c r="BA64" s="15" t="n">
        <v>0.01600859</v>
      </c>
      <c r="BB64" s="15" t="n">
        <v>0.01584851</v>
      </c>
      <c r="BC64" s="15" t="n">
        <v>0.01569002</v>
      </c>
      <c r="BD64" s="15" t="n">
        <v>0.01553312</v>
      </c>
      <c r="BE64" s="15" t="n">
        <v>0.01537779</v>
      </c>
      <c r="BF64" s="15" t="n">
        <v>0.01522401</v>
      </c>
      <c r="BG64" s="15" t="n">
        <v>0.01507177</v>
      </c>
      <c r="BH64" s="15" t="n">
        <v>0.01492105</v>
      </c>
      <c r="BI64" s="15" t="n">
        <v>0.01477184</v>
      </c>
      <c r="BJ64" s="15" t="n">
        <v>0.01462413</v>
      </c>
      <c r="BK64" s="15" t="n">
        <v>0.01447788</v>
      </c>
      <c r="BL64" s="15" t="n">
        <v>0.01433311</v>
      </c>
      <c r="BM64" s="15" t="n">
        <v>0.01418977</v>
      </c>
      <c r="BN64" s="15" t="n">
        <v>0.01404788</v>
      </c>
      <c r="BO64" s="15" t="n">
        <v>0.0139074</v>
      </c>
      <c r="BP64" s="15" t="n">
        <v>0.01376832</v>
      </c>
      <c r="BQ64" s="15" t="n">
        <v>0.01363064</v>
      </c>
      <c r="BR64" s="15" t="n">
        <v>0.01349433</v>
      </c>
      <c r="BS64" s="15" t="n">
        <v>0.01335939</v>
      </c>
      <c r="BT64" s="15" t="n">
        <v>0.0132258</v>
      </c>
      <c r="BU64" s="15" t="n">
        <v>0.01309354</v>
      </c>
      <c r="BV64" s="15" t="n">
        <v>0.0129626</v>
      </c>
      <c r="BW64" s="15" t="n">
        <v>0.01283298</v>
      </c>
      <c r="BX64" s="15" t="n">
        <v>0.01270465</v>
      </c>
    </row>
    <row r="65">
      <c r="A65" t="n">
        <v>82</v>
      </c>
      <c r="B65" s="15" t="n">
        <v>0.03104454</v>
      </c>
      <c r="C65" s="15" t="n">
        <v>0.03062339</v>
      </c>
      <c r="D65" s="15" t="n">
        <v>0.03022678</v>
      </c>
      <c r="E65" s="15" t="n">
        <v>0.02985312</v>
      </c>
      <c r="F65" s="15" t="n">
        <v>0.02950052</v>
      </c>
      <c r="G65" s="15" t="n">
        <v>0.02916687</v>
      </c>
      <c r="H65" s="15" t="n">
        <v>0.02884977</v>
      </c>
      <c r="I65" s="15" t="n">
        <v>0.02854659</v>
      </c>
      <c r="J65" s="15" t="n">
        <v>0.02825441</v>
      </c>
      <c r="K65" s="15" t="n">
        <v>0.02797015</v>
      </c>
      <c r="L65" s="15" t="n">
        <v>0.02769045</v>
      </c>
      <c r="M65" s="15" t="n">
        <v>0.02741354</v>
      </c>
      <c r="N65" s="15" t="n">
        <v>0.02713941</v>
      </c>
      <c r="O65" s="15" t="n">
        <v>0.02686801</v>
      </c>
      <c r="P65" s="15" t="n">
        <v>0.02659933</v>
      </c>
      <c r="Q65" s="15" t="n">
        <v>0.02633334</v>
      </c>
      <c r="R65" s="15" t="n">
        <v>0.02607</v>
      </c>
      <c r="S65" s="15" t="n">
        <v>0.0258093</v>
      </c>
      <c r="T65" s="15" t="n">
        <v>0.02555121</v>
      </c>
      <c r="U65" s="15" t="n">
        <v>0.0252957</v>
      </c>
      <c r="V65" s="15" t="n">
        <v>0.02504274</v>
      </c>
      <c r="W65" s="15" t="n">
        <v>0.02479232</v>
      </c>
      <c r="X65" s="15" t="n">
        <v>0.02454439</v>
      </c>
      <c r="Y65" s="15" t="n">
        <v>0.02429895</v>
      </c>
      <c r="Z65" s="15" t="n">
        <v>0.02405596</v>
      </c>
      <c r="AA65" s="15" t="n">
        <v>0.0238154</v>
      </c>
      <c r="AB65" s="15" t="n">
        <v>0.02357725</v>
      </c>
      <c r="AC65" s="15" t="n">
        <v>0.02334147</v>
      </c>
      <c r="AD65" s="15" t="n">
        <v>0.02310806</v>
      </c>
      <c r="AE65" s="15" t="n">
        <v>0.02287698</v>
      </c>
      <c r="AF65" s="15" t="n">
        <v>0.02264821</v>
      </c>
      <c r="AG65" s="15" t="n">
        <v>0.02242173</v>
      </c>
      <c r="AH65" s="15" t="n">
        <v>0.02219751</v>
      </c>
      <c r="AI65" s="15" t="n">
        <v>0.02197553</v>
      </c>
      <c r="AJ65" s="15" t="n">
        <v>0.02175578</v>
      </c>
      <c r="AK65" s="15" t="n">
        <v>0.02153822</v>
      </c>
      <c r="AL65" s="15" t="n">
        <v>0.02132284</v>
      </c>
      <c r="AM65" s="15" t="n">
        <v>0.02110961</v>
      </c>
      <c r="AN65" s="15" t="n">
        <v>0.02089851</v>
      </c>
      <c r="AO65" s="15" t="n">
        <v>0.02068953</v>
      </c>
      <c r="AP65" s="15" t="n">
        <v>0.02048263</v>
      </c>
      <c r="AQ65" s="15" t="n">
        <v>0.02027781</v>
      </c>
      <c r="AR65" s="15" t="n">
        <v>0.02007503</v>
      </c>
      <c r="AS65" s="15" t="n">
        <v>0.01987428</v>
      </c>
      <c r="AT65" s="15" t="n">
        <v>0.01967554</v>
      </c>
      <c r="AU65" s="15" t="n">
        <v>0.01947878</v>
      </c>
      <c r="AV65" s="15" t="n">
        <v>0.01928399</v>
      </c>
      <c r="AW65" s="15" t="n">
        <v>0.01909115</v>
      </c>
      <c r="AX65" s="15" t="n">
        <v>0.01890024</v>
      </c>
      <c r="AY65" s="15" t="n">
        <v>0.01871124</v>
      </c>
      <c r="AZ65" s="15" t="n">
        <v>0.01852413</v>
      </c>
      <c r="BA65" s="15" t="n">
        <v>0.01833888</v>
      </c>
      <c r="BB65" s="15" t="n">
        <v>0.0181555</v>
      </c>
      <c r="BC65" s="15" t="n">
        <v>0.01797394</v>
      </c>
      <c r="BD65" s="15" t="n">
        <v>0.0177942</v>
      </c>
      <c r="BE65" s="15" t="n">
        <v>0.01761626</v>
      </c>
      <c r="BF65" s="15" t="n">
        <v>0.0174401</v>
      </c>
      <c r="BG65" s="15" t="n">
        <v>0.0172657</v>
      </c>
      <c r="BH65" s="15" t="n">
        <v>0.01709304</v>
      </c>
      <c r="BI65" s="15" t="n">
        <v>0.01692211</v>
      </c>
      <c r="BJ65" s="15" t="n">
        <v>0.01675289</v>
      </c>
      <c r="BK65" s="15" t="n">
        <v>0.01658536</v>
      </c>
      <c r="BL65" s="15" t="n">
        <v>0.01641951</v>
      </c>
      <c r="BM65" s="15" t="n">
        <v>0.01625531</v>
      </c>
      <c r="BN65" s="15" t="n">
        <v>0.01609276</v>
      </c>
      <c r="BO65" s="15" t="n">
        <v>0.01593183</v>
      </c>
      <c r="BP65" s="15" t="n">
        <v>0.01577251</v>
      </c>
      <c r="BQ65" s="15" t="n">
        <v>0.01561479</v>
      </c>
      <c r="BR65" s="15" t="n">
        <v>0.01545864</v>
      </c>
      <c r="BS65" s="15" t="n">
        <v>0.01530405</v>
      </c>
      <c r="BT65" s="15" t="n">
        <v>0.01515101</v>
      </c>
      <c r="BU65" s="15" t="n">
        <v>0.0149995</v>
      </c>
      <c r="BV65" s="15" t="n">
        <v>0.01484951</v>
      </c>
      <c r="BW65" s="15" t="n">
        <v>0.01470101</v>
      </c>
      <c r="BX65" s="15" t="n">
        <v>0.014554</v>
      </c>
    </row>
    <row r="66">
      <c r="A66" t="n">
        <v>83</v>
      </c>
      <c r="B66" s="15" t="n">
        <v>0.03559688</v>
      </c>
      <c r="C66" s="15" t="n">
        <v>0.03512394</v>
      </c>
      <c r="D66" s="15" t="n">
        <v>0.03467716</v>
      </c>
      <c r="E66" s="15" t="n">
        <v>0.0342549</v>
      </c>
      <c r="F66" s="15" t="n">
        <v>0.03385521</v>
      </c>
      <c r="G66" s="15" t="n">
        <v>0.0334758</v>
      </c>
      <c r="H66" s="15" t="n">
        <v>0.03311416</v>
      </c>
      <c r="I66" s="15" t="n">
        <v>0.03276748</v>
      </c>
      <c r="J66" s="15" t="n">
        <v>0.03243273</v>
      </c>
      <c r="K66" s="15" t="n">
        <v>0.03210659</v>
      </c>
      <c r="L66" s="15" t="n">
        <v>0.03178552</v>
      </c>
      <c r="M66" s="15" t="n">
        <v>0.03146767</v>
      </c>
      <c r="N66" s="15" t="n">
        <v>0.03115299</v>
      </c>
      <c r="O66" s="15" t="n">
        <v>0.03084146</v>
      </c>
      <c r="P66" s="15" t="n">
        <v>0.03053305</v>
      </c>
      <c r="Q66" s="15" t="n">
        <v>0.03022772</v>
      </c>
      <c r="R66" s="15" t="n">
        <v>0.02992544</v>
      </c>
      <c r="S66" s="15" t="n">
        <v>0.02962618</v>
      </c>
      <c r="T66" s="15" t="n">
        <v>0.02932992</v>
      </c>
      <c r="U66" s="15" t="n">
        <v>0.02903662</v>
      </c>
      <c r="V66" s="15" t="n">
        <v>0.02874626</v>
      </c>
      <c r="W66" s="15" t="n">
        <v>0.02845879</v>
      </c>
      <c r="X66" s="15" t="n">
        <v>0.02817421</v>
      </c>
      <c r="Y66" s="15" t="n">
        <v>0.02789246</v>
      </c>
      <c r="Z66" s="15" t="n">
        <v>0.02761354</v>
      </c>
      <c r="AA66" s="15" t="n">
        <v>0.0273374</v>
      </c>
      <c r="AB66" s="15" t="n">
        <v>0.02706403</v>
      </c>
      <c r="AC66" s="15" t="n">
        <v>0.02679339</v>
      </c>
      <c r="AD66" s="15" t="n">
        <v>0.02652546</v>
      </c>
      <c r="AE66" s="15" t="n">
        <v>0.0262602</v>
      </c>
      <c r="AF66" s="15" t="n">
        <v>0.0259976</v>
      </c>
      <c r="AG66" s="15" t="n">
        <v>0.02573762</v>
      </c>
      <c r="AH66" s="15" t="n">
        <v>0.02548025</v>
      </c>
      <c r="AI66" s="15" t="n">
        <v>0.02522544</v>
      </c>
      <c r="AJ66" s="15" t="n">
        <v>0.02497319</v>
      </c>
      <c r="AK66" s="15" t="n">
        <v>0.02472346</v>
      </c>
      <c r="AL66" s="15" t="n">
        <v>0.02447622</v>
      </c>
      <c r="AM66" s="15" t="n">
        <v>0.02423146</v>
      </c>
      <c r="AN66" s="15" t="n">
        <v>0.02398915</v>
      </c>
      <c r="AO66" s="15" t="n">
        <v>0.02374926</v>
      </c>
      <c r="AP66" s="15" t="n">
        <v>0.02351176</v>
      </c>
      <c r="AQ66" s="15" t="n">
        <v>0.02327665</v>
      </c>
      <c r="AR66" s="15" t="n">
        <v>0.02304388</v>
      </c>
      <c r="AS66" s="15" t="n">
        <v>0.02281344</v>
      </c>
      <c r="AT66" s="15" t="n">
        <v>0.02258531</v>
      </c>
      <c r="AU66" s="15" t="n">
        <v>0.02235945</v>
      </c>
      <c r="AV66" s="15" t="n">
        <v>0.02213586</v>
      </c>
      <c r="AW66" s="15" t="n">
        <v>0.0219145</v>
      </c>
      <c r="AX66" s="15" t="n">
        <v>0.02169535</v>
      </c>
      <c r="AY66" s="15" t="n">
        <v>0.0214784</v>
      </c>
      <c r="AZ66" s="15" t="n">
        <v>0.02126362</v>
      </c>
      <c r="BA66" s="15" t="n">
        <v>0.02105098</v>
      </c>
      <c r="BB66" s="15" t="n">
        <v>0.02084047</v>
      </c>
      <c r="BC66" s="15" t="n">
        <v>0.02063207</v>
      </c>
      <c r="BD66" s="15" t="n">
        <v>0.02042575</v>
      </c>
      <c r="BE66" s="15" t="n">
        <v>0.02022149</v>
      </c>
      <c r="BF66" s="15" t="n">
        <v>0.02001927</v>
      </c>
      <c r="BG66" s="15" t="n">
        <v>0.01981908</v>
      </c>
      <c r="BH66" s="15" t="n">
        <v>0.01962089</v>
      </c>
      <c r="BI66" s="15" t="n">
        <v>0.01942468</v>
      </c>
      <c r="BJ66" s="15" t="n">
        <v>0.01923043</v>
      </c>
      <c r="BK66" s="15" t="n">
        <v>0.01903813</v>
      </c>
      <c r="BL66" s="15" t="n">
        <v>0.01884775</v>
      </c>
      <c r="BM66" s="15" t="n">
        <v>0.01865927</v>
      </c>
      <c r="BN66" s="15" t="n">
        <v>0.01847268</v>
      </c>
      <c r="BO66" s="15" t="n">
        <v>0.01828795</v>
      </c>
      <c r="BP66" s="15" t="n">
        <v>0.01810507</v>
      </c>
      <c r="BQ66" s="15" t="n">
        <v>0.01792402</v>
      </c>
      <c r="BR66" s="15" t="n">
        <v>0.01774478</v>
      </c>
      <c r="BS66" s="15" t="n">
        <v>0.01756733</v>
      </c>
      <c r="BT66" s="15" t="n">
        <v>0.01739166</v>
      </c>
      <c r="BU66" s="15" t="n">
        <v>0.01721774</v>
      </c>
      <c r="BV66" s="15" t="n">
        <v>0.01704557</v>
      </c>
      <c r="BW66" s="15" t="n">
        <v>0.01687511</v>
      </c>
      <c r="BX66" s="15" t="n">
        <v>0.01670636</v>
      </c>
    </row>
    <row r="67">
      <c r="A67" t="n">
        <v>84</v>
      </c>
      <c r="B67" s="15" t="n">
        <v>0.04082799</v>
      </c>
      <c r="C67" s="15" t="n">
        <v>0.04029722</v>
      </c>
      <c r="D67" s="15" t="n">
        <v>0.03979423</v>
      </c>
      <c r="E67" s="15" t="n">
        <v>0.03931722</v>
      </c>
      <c r="F67" s="15" t="n">
        <v>0.03886417</v>
      </c>
      <c r="G67" s="15" t="n">
        <v>0.03843274</v>
      </c>
      <c r="H67" s="15" t="n">
        <v>0.03802024</v>
      </c>
      <c r="I67" s="15" t="n">
        <v>0.03762376</v>
      </c>
      <c r="J67" s="15" t="n">
        <v>0.03724011</v>
      </c>
      <c r="K67" s="15" t="n">
        <v>0.03686581</v>
      </c>
      <c r="L67" s="15" t="n">
        <v>0.03649715</v>
      </c>
      <c r="M67" s="15" t="n">
        <v>0.03613218</v>
      </c>
      <c r="N67" s="15" t="n">
        <v>0.03577086</v>
      </c>
      <c r="O67" s="15" t="n">
        <v>0.03541315</v>
      </c>
      <c r="P67" s="15" t="n">
        <v>0.03505902</v>
      </c>
      <c r="Q67" s="15" t="n">
        <v>0.03470843</v>
      </c>
      <c r="R67" s="15" t="n">
        <v>0.03436135</v>
      </c>
      <c r="S67" s="15" t="n">
        <v>0.03401773</v>
      </c>
      <c r="T67" s="15" t="n">
        <v>0.03367756</v>
      </c>
      <c r="U67" s="15" t="n">
        <v>0.03334078</v>
      </c>
      <c r="V67" s="15" t="n">
        <v>0.03300737</v>
      </c>
      <c r="W67" s="15" t="n">
        <v>0.0326773</v>
      </c>
      <c r="X67" s="15" t="n">
        <v>0.03235053</v>
      </c>
      <c r="Y67" s="15" t="n">
        <v>0.03202702</v>
      </c>
      <c r="Z67" s="15" t="n">
        <v>0.03170675</v>
      </c>
      <c r="AA67" s="15" t="n">
        <v>0.03138968</v>
      </c>
      <c r="AB67" s="15" t="n">
        <v>0.03107579</v>
      </c>
      <c r="AC67" s="15" t="n">
        <v>0.03076503</v>
      </c>
      <c r="AD67" s="15" t="n">
        <v>0.03045738</v>
      </c>
      <c r="AE67" s="15" t="n">
        <v>0.0301528</v>
      </c>
      <c r="AF67" s="15" t="n">
        <v>0.02985128</v>
      </c>
      <c r="AG67" s="15" t="n">
        <v>0.02955276</v>
      </c>
      <c r="AH67" s="15" t="n">
        <v>0.02925724</v>
      </c>
      <c r="AI67" s="15" t="n">
        <v>0.02896466</v>
      </c>
      <c r="AJ67" s="15" t="n">
        <v>0.02867502</v>
      </c>
      <c r="AK67" s="15" t="n">
        <v>0.02838827</v>
      </c>
      <c r="AL67" s="15" t="n">
        <v>0.02810438</v>
      </c>
      <c r="AM67" s="15" t="n">
        <v>0.02782334</v>
      </c>
      <c r="AN67" s="15" t="n">
        <v>0.02754511</v>
      </c>
      <c r="AO67" s="15" t="n">
        <v>0.02726965</v>
      </c>
      <c r="AP67" s="15" t="n">
        <v>0.02699696</v>
      </c>
      <c r="AQ67" s="15" t="n">
        <v>0.02672699</v>
      </c>
      <c r="AR67" s="15" t="n">
        <v>0.02645972</v>
      </c>
      <c r="AS67" s="15" t="n">
        <v>0.02619512</v>
      </c>
      <c r="AT67" s="15" t="n">
        <v>0.02593317</v>
      </c>
      <c r="AU67" s="15" t="n">
        <v>0.02567384</v>
      </c>
      <c r="AV67" s="15" t="n">
        <v>0.0254171</v>
      </c>
      <c r="AW67" s="15" t="n">
        <v>0.02516293</v>
      </c>
      <c r="AX67" s="15" t="n">
        <v>0.0249113</v>
      </c>
      <c r="AY67" s="15" t="n">
        <v>0.02466219</v>
      </c>
      <c r="AZ67" s="15" t="n">
        <v>0.02441557</v>
      </c>
      <c r="BA67" s="15" t="n">
        <v>0.02417141</v>
      </c>
      <c r="BB67" s="15" t="n">
        <v>0.0239297</v>
      </c>
      <c r="BC67" s="15" t="n">
        <v>0.0236904</v>
      </c>
      <c r="BD67" s="15" t="n">
        <v>0.02345349</v>
      </c>
      <c r="BE67" s="15" t="n">
        <v>0.02321896</v>
      </c>
      <c r="BF67" s="15" t="n">
        <v>0.02298677</v>
      </c>
      <c r="BG67" s="15" t="n">
        <v>0.0227569</v>
      </c>
      <c r="BH67" s="15" t="n">
        <v>0.02252933</v>
      </c>
      <c r="BI67" s="15" t="n">
        <v>0.02230404</v>
      </c>
      <c r="BJ67" s="15" t="n">
        <v>0.022081</v>
      </c>
      <c r="BK67" s="15" t="n">
        <v>0.02186019</v>
      </c>
      <c r="BL67" s="15" t="n">
        <v>0.02164159</v>
      </c>
      <c r="BM67" s="15" t="n">
        <v>0.02142517</v>
      </c>
      <c r="BN67" s="15" t="n">
        <v>0.02121092</v>
      </c>
      <c r="BO67" s="15" t="n">
        <v>0.02099881</v>
      </c>
      <c r="BP67" s="15" t="n">
        <v>0.02078882</v>
      </c>
      <c r="BQ67" s="15" t="n">
        <v>0.02058093</v>
      </c>
      <c r="BR67" s="15" t="n">
        <v>0.02037513</v>
      </c>
      <c r="BS67" s="15" t="n">
        <v>0.02017137</v>
      </c>
      <c r="BT67" s="15" t="n">
        <v>0.01996966</v>
      </c>
      <c r="BU67" s="15" t="n">
        <v>0.01976996</v>
      </c>
      <c r="BV67" s="15" t="n">
        <v>0.01957226</v>
      </c>
      <c r="BW67" s="15" t="n">
        <v>0.01937654</v>
      </c>
      <c r="BX67" s="15" t="n">
        <v>0.01918278</v>
      </c>
    </row>
    <row r="68">
      <c r="A68" t="n">
        <v>85</v>
      </c>
      <c r="B68" s="15" t="n">
        <v>0.04674247</v>
      </c>
      <c r="C68" s="15" t="n">
        <v>0.04614819</v>
      </c>
      <c r="D68" s="15" t="n">
        <v>0.04558305</v>
      </c>
      <c r="E68" s="15" t="n">
        <v>0.04504531</v>
      </c>
      <c r="F68" s="15" t="n">
        <v>0.04453279</v>
      </c>
      <c r="G68" s="15" t="n">
        <v>0.0440431</v>
      </c>
      <c r="H68" s="15" t="n">
        <v>0.04357347</v>
      </c>
      <c r="I68" s="15" t="n">
        <v>0.04312087</v>
      </c>
      <c r="J68" s="15" t="n">
        <v>0.04268199</v>
      </c>
      <c r="K68" s="15" t="n">
        <v>0.04225321</v>
      </c>
      <c r="L68" s="15" t="n">
        <v>0.04183067</v>
      </c>
      <c r="M68" s="15" t="n">
        <v>0.04141237</v>
      </c>
      <c r="N68" s="15" t="n">
        <v>0.04099824</v>
      </c>
      <c r="O68" s="15" t="n">
        <v>0.04058826</v>
      </c>
      <c r="P68" s="15" t="n">
        <v>0.04018238</v>
      </c>
      <c r="Q68" s="15" t="n">
        <v>0.03978056</v>
      </c>
      <c r="R68" s="15" t="n">
        <v>0.03938275</v>
      </c>
      <c r="S68" s="15" t="n">
        <v>0.03898892</v>
      </c>
      <c r="T68" s="15" t="n">
        <v>0.03859903</v>
      </c>
      <c r="U68" s="15" t="n">
        <v>0.03821304</v>
      </c>
      <c r="V68" s="15" t="n">
        <v>0.03783091</v>
      </c>
      <c r="W68" s="15" t="n">
        <v>0.0374526</v>
      </c>
      <c r="X68" s="15" t="n">
        <v>0.03707808</v>
      </c>
      <c r="Y68" s="15" t="n">
        <v>0.0367073</v>
      </c>
      <c r="Z68" s="15" t="n">
        <v>0.03634022</v>
      </c>
      <c r="AA68" s="15" t="n">
        <v>0.03597682</v>
      </c>
      <c r="AB68" s="15" t="n">
        <v>0.03561705</v>
      </c>
      <c r="AC68" s="15" t="n">
        <v>0.03526088</v>
      </c>
      <c r="AD68" s="15" t="n">
        <v>0.03490827</v>
      </c>
      <c r="AE68" s="15" t="n">
        <v>0.03455919</v>
      </c>
      <c r="AF68" s="15" t="n">
        <v>0.0342136</v>
      </c>
      <c r="AG68" s="15" t="n">
        <v>0.03387146</v>
      </c>
      <c r="AH68" s="15" t="n">
        <v>0.03353275</v>
      </c>
      <c r="AI68" s="15" t="n">
        <v>0.03319742</v>
      </c>
      <c r="AJ68" s="15" t="n">
        <v>0.03286545</v>
      </c>
      <c r="AK68" s="15" t="n">
        <v>0.03253679</v>
      </c>
      <c r="AL68" s="15" t="n">
        <v>0.03221142</v>
      </c>
      <c r="AM68" s="15" t="n">
        <v>0.03188931</v>
      </c>
      <c r="AN68" s="15" t="n">
        <v>0.03157042</v>
      </c>
      <c r="AO68" s="15" t="n">
        <v>0.03125471</v>
      </c>
      <c r="AP68" s="15" t="n">
        <v>0.03094217</v>
      </c>
      <c r="AQ68" s="15" t="n">
        <v>0.03063274</v>
      </c>
      <c r="AR68" s="15" t="n">
        <v>0.03032642</v>
      </c>
      <c r="AS68" s="15" t="n">
        <v>0.03002315</v>
      </c>
      <c r="AT68" s="15" t="n">
        <v>0.02972292</v>
      </c>
      <c r="AU68" s="15" t="n">
        <v>0.02942569</v>
      </c>
      <c r="AV68" s="15" t="n">
        <v>0.02913143</v>
      </c>
      <c r="AW68" s="15" t="n">
        <v>0.02884012</v>
      </c>
      <c r="AX68" s="15" t="n">
        <v>0.02855172</v>
      </c>
      <c r="AY68" s="15" t="n">
        <v>0.0282662</v>
      </c>
      <c r="AZ68" s="15" t="n">
        <v>0.02798354</v>
      </c>
      <c r="BA68" s="15" t="n">
        <v>0.0277037</v>
      </c>
      <c r="BB68" s="15" t="n">
        <v>0.02742667</v>
      </c>
      <c r="BC68" s="15" t="n">
        <v>0.0271524</v>
      </c>
      <c r="BD68" s="15" t="n">
        <v>0.02688088</v>
      </c>
      <c r="BE68" s="15" t="n">
        <v>0.02661207</v>
      </c>
      <c r="BF68" s="15" t="n">
        <v>0.02634595</v>
      </c>
      <c r="BG68" s="15" t="n">
        <v>0.02608249</v>
      </c>
      <c r="BH68" s="15" t="n">
        <v>0.02582166</v>
      </c>
      <c r="BI68" s="15" t="n">
        <v>0.02556345</v>
      </c>
      <c r="BJ68" s="15" t="n">
        <v>0.02530781</v>
      </c>
      <c r="BK68" s="15" t="n">
        <v>0.02505473</v>
      </c>
      <c r="BL68" s="15" t="n">
        <v>0.02480419</v>
      </c>
      <c r="BM68" s="15" t="n">
        <v>0.02455614</v>
      </c>
      <c r="BN68" s="15" t="n">
        <v>0.02431058</v>
      </c>
      <c r="BO68" s="15" t="n">
        <v>0.02406748</v>
      </c>
      <c r="BP68" s="15" t="n">
        <v>0.0238268</v>
      </c>
      <c r="BQ68" s="15" t="n">
        <v>0.02358853</v>
      </c>
      <c r="BR68" s="15" t="n">
        <v>0.02335265</v>
      </c>
      <c r="BS68" s="15" t="n">
        <v>0.02311912</v>
      </c>
      <c r="BT68" s="15" t="n">
        <v>0.02288793</v>
      </c>
      <c r="BU68" s="15" t="n">
        <v>0.02265905</v>
      </c>
      <c r="BV68" s="15" t="n">
        <v>0.02243246</v>
      </c>
      <c r="BW68" s="15" t="n">
        <v>0.02220814</v>
      </c>
      <c r="BX68" s="15" t="n">
        <v>0.02198606</v>
      </c>
    </row>
    <row r="69">
      <c r="A69" t="n">
        <v>86</v>
      </c>
      <c r="B69" s="15" t="n">
        <v>0.05331115</v>
      </c>
      <c r="C69" s="15" t="n">
        <v>0.05264817</v>
      </c>
      <c r="D69" s="15" t="n">
        <v>0.05201555</v>
      </c>
      <c r="E69" s="15" t="n">
        <v>0.0514115</v>
      </c>
      <c r="F69" s="15" t="n">
        <v>0.05083384</v>
      </c>
      <c r="G69" s="15" t="n">
        <v>0.05028005</v>
      </c>
      <c r="H69" s="15" t="n">
        <v>0.04974734</v>
      </c>
      <c r="I69" s="15" t="n">
        <v>0.04923255</v>
      </c>
      <c r="J69" s="15" t="n">
        <v>0.04873235</v>
      </c>
      <c r="K69" s="15" t="n">
        <v>0.04824303</v>
      </c>
      <c r="L69" s="15" t="n">
        <v>0.0477606</v>
      </c>
      <c r="M69" s="15" t="n">
        <v>0.04728299</v>
      </c>
      <c r="N69" s="15" t="n">
        <v>0.04681016</v>
      </c>
      <c r="O69" s="15" t="n">
        <v>0.04634206</v>
      </c>
      <c r="P69" s="15" t="n">
        <v>0.04587864</v>
      </c>
      <c r="Q69" s="15" t="n">
        <v>0.04541985</v>
      </c>
      <c r="R69" s="15" t="n">
        <v>0.04496565</v>
      </c>
      <c r="S69" s="15" t="n">
        <v>0.044516</v>
      </c>
      <c r="T69" s="15" t="n">
        <v>0.04407084</v>
      </c>
      <c r="U69" s="15" t="n">
        <v>0.04363013</v>
      </c>
      <c r="V69" s="15" t="n">
        <v>0.04319383</v>
      </c>
      <c r="W69" s="15" t="n">
        <v>0.04276189</v>
      </c>
      <c r="X69" s="15" t="n">
        <v>0.04233427</v>
      </c>
      <c r="Y69" s="15" t="n">
        <v>0.04191093</v>
      </c>
      <c r="Z69" s="15" t="n">
        <v>0.04149182</v>
      </c>
      <c r="AA69" s="15" t="n">
        <v>0.0410769</v>
      </c>
      <c r="AB69" s="15" t="n">
        <v>0.04066613</v>
      </c>
      <c r="AC69" s="15" t="n">
        <v>0.04025947</v>
      </c>
      <c r="AD69" s="15" t="n">
        <v>0.03985688</v>
      </c>
      <c r="AE69" s="15" t="n">
        <v>0.03945831</v>
      </c>
      <c r="AF69" s="15" t="n">
        <v>0.03906372</v>
      </c>
      <c r="AG69" s="15" t="n">
        <v>0.03867309</v>
      </c>
      <c r="AH69" s="15" t="n">
        <v>0.03828636</v>
      </c>
      <c r="AI69" s="15" t="n">
        <v>0.03790349</v>
      </c>
      <c r="AJ69" s="15" t="n">
        <v>0.03752446</v>
      </c>
      <c r="AK69" s="15" t="n">
        <v>0.03714921</v>
      </c>
      <c r="AL69" s="15" t="n">
        <v>0.03677772</v>
      </c>
      <c r="AM69" s="15" t="n">
        <v>0.03640994</v>
      </c>
      <c r="AN69" s="15" t="n">
        <v>0.03604584</v>
      </c>
      <c r="AO69" s="15" t="n">
        <v>0.03568539</v>
      </c>
      <c r="AP69" s="15" t="n">
        <v>0.03532853</v>
      </c>
      <c r="AQ69" s="15" t="n">
        <v>0.03497525</v>
      </c>
      <c r="AR69" s="15" t="n">
        <v>0.03462549</v>
      </c>
      <c r="AS69" s="15" t="n">
        <v>0.03427924</v>
      </c>
      <c r="AT69" s="15" t="n">
        <v>0.03393645</v>
      </c>
      <c r="AU69" s="15" t="n">
        <v>0.03359708</v>
      </c>
      <c r="AV69" s="15" t="n">
        <v>0.03326111</v>
      </c>
      <c r="AW69" s="15" t="n">
        <v>0.0329285</v>
      </c>
      <c r="AX69" s="15" t="n">
        <v>0.03259921</v>
      </c>
      <c r="AY69" s="15" t="n">
        <v>0.03227322</v>
      </c>
      <c r="AZ69" s="15" t="n">
        <v>0.03195049</v>
      </c>
      <c r="BA69" s="15" t="n">
        <v>0.03163099</v>
      </c>
      <c r="BB69" s="15" t="n">
        <v>0.03131468</v>
      </c>
      <c r="BC69" s="15" t="n">
        <v>0.03100153</v>
      </c>
      <c r="BD69" s="15" t="n">
        <v>0.03069151</v>
      </c>
      <c r="BE69" s="15" t="n">
        <v>0.0303846</v>
      </c>
      <c r="BF69" s="15" t="n">
        <v>0.03008075</v>
      </c>
      <c r="BG69" s="15" t="n">
        <v>0.02977995</v>
      </c>
      <c r="BH69" s="15" t="n">
        <v>0.02948215</v>
      </c>
      <c r="BI69" s="15" t="n">
        <v>0.02918732</v>
      </c>
      <c r="BJ69" s="15" t="n">
        <v>0.02889545</v>
      </c>
      <c r="BK69" s="15" t="n">
        <v>0.0286065</v>
      </c>
      <c r="BL69" s="15" t="n">
        <v>0.02832043</v>
      </c>
      <c r="BM69" s="15" t="n">
        <v>0.02803723</v>
      </c>
      <c r="BN69" s="15" t="n">
        <v>0.02775685</v>
      </c>
      <c r="BO69" s="15" t="n">
        <v>0.02747929</v>
      </c>
      <c r="BP69" s="15" t="n">
        <v>0.02720449</v>
      </c>
      <c r="BQ69" s="15" t="n">
        <v>0.02693245</v>
      </c>
      <c r="BR69" s="15" t="n">
        <v>0.02666312</v>
      </c>
      <c r="BS69" s="15" t="n">
        <v>0.02639649</v>
      </c>
      <c r="BT69" s="15" t="n">
        <v>0.02613253</v>
      </c>
      <c r="BU69" s="15" t="n">
        <v>0.0258712</v>
      </c>
      <c r="BV69" s="15" t="n">
        <v>0.02561249</v>
      </c>
      <c r="BW69" s="15" t="n">
        <v>0.02535637</v>
      </c>
      <c r="BX69" s="15" t="n">
        <v>0.0251028</v>
      </c>
    </row>
    <row r="70">
      <c r="A70" t="n">
        <v>87</v>
      </c>
      <c r="B70" s="15" t="n">
        <v>0.06047938</v>
      </c>
      <c r="C70" s="15" t="n">
        <v>0.05974353</v>
      </c>
      <c r="D70" s="15" t="n">
        <v>0.05903897</v>
      </c>
      <c r="E70" s="15" t="n">
        <v>0.05836386</v>
      </c>
      <c r="F70" s="15" t="n">
        <v>0.05771602</v>
      </c>
      <c r="G70" s="15" t="n">
        <v>0.05709298</v>
      </c>
      <c r="H70" s="15" t="n">
        <v>0.05649184</v>
      </c>
      <c r="I70" s="15" t="n">
        <v>0.05590947</v>
      </c>
      <c r="J70" s="15" t="n">
        <v>0.05534244</v>
      </c>
      <c r="K70" s="15" t="n">
        <v>0.05478696</v>
      </c>
      <c r="L70" s="15" t="n">
        <v>0.05423909</v>
      </c>
      <c r="M70" s="15" t="n">
        <v>0.0536967</v>
      </c>
      <c r="N70" s="15" t="n">
        <v>0.05315974</v>
      </c>
      <c r="O70" s="15" t="n">
        <v>0.05262814</v>
      </c>
      <c r="P70" s="15" t="n">
        <v>0.05210186</v>
      </c>
      <c r="Q70" s="15" t="n">
        <v>0.05158084</v>
      </c>
      <c r="R70" s="15" t="n">
        <v>0.05106503</v>
      </c>
      <c r="S70" s="15" t="n">
        <v>0.05055438</v>
      </c>
      <c r="T70" s="15" t="n">
        <v>0.05004884</v>
      </c>
      <c r="U70" s="15" t="n">
        <v>0.04954835</v>
      </c>
      <c r="V70" s="15" t="n">
        <v>0.04905287</v>
      </c>
      <c r="W70" s="15" t="n">
        <v>0.04856234</v>
      </c>
      <c r="X70" s="15" t="n">
        <v>0.04807671</v>
      </c>
      <c r="Y70" s="15" t="n">
        <v>0.04759595</v>
      </c>
      <c r="Z70" s="15" t="n">
        <v>0.04711999</v>
      </c>
      <c r="AA70" s="15" t="n">
        <v>0.04664879</v>
      </c>
      <c r="AB70" s="15" t="n">
        <v>0.0461823</v>
      </c>
      <c r="AC70" s="15" t="n">
        <v>0.04572048</v>
      </c>
      <c r="AD70" s="15" t="n">
        <v>0.04526327</v>
      </c>
      <c r="AE70" s="15" t="n">
        <v>0.04481064</v>
      </c>
      <c r="AF70" s="15" t="n">
        <v>0.04436253</v>
      </c>
      <c r="AG70" s="15" t="n">
        <v>0.04391891</v>
      </c>
      <c r="AH70" s="15" t="n">
        <v>0.04347972</v>
      </c>
      <c r="AI70" s="15" t="n">
        <v>0.04304492</v>
      </c>
      <c r="AJ70" s="15" t="n">
        <v>0.04261447</v>
      </c>
      <c r="AK70" s="15" t="n">
        <v>0.04218833</v>
      </c>
      <c r="AL70" s="15" t="n">
        <v>0.04176644</v>
      </c>
      <c r="AM70" s="15" t="n">
        <v>0.04134878</v>
      </c>
      <c r="AN70" s="15" t="n">
        <v>0.04093529</v>
      </c>
      <c r="AO70" s="15" t="n">
        <v>0.04052594</v>
      </c>
      <c r="AP70" s="15" t="n">
        <v>0.04012068</v>
      </c>
      <c r="AQ70" s="15" t="n">
        <v>0.03971947</v>
      </c>
      <c r="AR70" s="15" t="n">
        <v>0.03932228</v>
      </c>
      <c r="AS70" s="15" t="n">
        <v>0.03892905</v>
      </c>
      <c r="AT70" s="15" t="n">
        <v>0.03853976</v>
      </c>
      <c r="AU70" s="15" t="n">
        <v>0.03815437</v>
      </c>
      <c r="AV70" s="15" t="n">
        <v>0.03777282</v>
      </c>
      <c r="AW70" s="15" t="n">
        <v>0.03739509</v>
      </c>
      <c r="AX70" s="15" t="n">
        <v>0.03702114</v>
      </c>
      <c r="AY70" s="15" t="n">
        <v>0.03665093</v>
      </c>
      <c r="AZ70" s="15" t="n">
        <v>0.03628442</v>
      </c>
      <c r="BA70" s="15" t="n">
        <v>0.03592158</v>
      </c>
      <c r="BB70" s="15" t="n">
        <v>0.03556236</v>
      </c>
      <c r="BC70" s="15" t="n">
        <v>0.03520674</v>
      </c>
      <c r="BD70" s="15" t="n">
        <v>0.03485467</v>
      </c>
      <c r="BE70" s="15" t="n">
        <v>0.03450612</v>
      </c>
      <c r="BF70" s="15" t="n">
        <v>0.03416106</v>
      </c>
      <c r="BG70" s="15" t="n">
        <v>0.03381945</v>
      </c>
      <c r="BH70" s="15" t="n">
        <v>0.03348126</v>
      </c>
      <c r="BI70" s="15" t="n">
        <v>0.03314645</v>
      </c>
      <c r="BJ70" s="15" t="n">
        <v>0.03281498</v>
      </c>
      <c r="BK70" s="15" t="n">
        <v>0.03248683</v>
      </c>
      <c r="BL70" s="15" t="n">
        <v>0.03216196</v>
      </c>
      <c r="BM70" s="15" t="n">
        <v>0.03184034</v>
      </c>
      <c r="BN70" s="15" t="n">
        <v>0.03152194</v>
      </c>
      <c r="BO70" s="15" t="n">
        <v>0.03120672</v>
      </c>
      <c r="BP70" s="15" t="n">
        <v>0.03089465</v>
      </c>
      <c r="BQ70" s="15" t="n">
        <v>0.03058571</v>
      </c>
      <c r="BR70" s="15" t="n">
        <v>0.03027985</v>
      </c>
      <c r="BS70" s="15" t="n">
        <v>0.02997705</v>
      </c>
      <c r="BT70" s="15" t="n">
        <v>0.02967728</v>
      </c>
      <c r="BU70" s="15" t="n">
        <v>0.02938051</v>
      </c>
      <c r="BV70" s="15" t="n">
        <v>0.0290867</v>
      </c>
      <c r="BW70" s="15" t="n">
        <v>0.02879584</v>
      </c>
      <c r="BX70" s="15" t="n">
        <v>0.02850788</v>
      </c>
    </row>
    <row r="71">
      <c r="A71" t="n">
        <v>88</v>
      </c>
      <c r="B71" s="15" t="n">
        <v>0.06818303000000001</v>
      </c>
      <c r="C71" s="15" t="n">
        <v>0.06737131</v>
      </c>
      <c r="D71" s="15" t="n">
        <v>0.06659134999999999</v>
      </c>
      <c r="E71" s="15" t="n">
        <v>0.06584139999999999</v>
      </c>
      <c r="F71" s="15" t="n">
        <v>0.06511931999999999</v>
      </c>
      <c r="G71" s="15" t="n">
        <v>0.06442261000000001</v>
      </c>
      <c r="H71" s="15" t="n">
        <v>0.06374842999999999</v>
      </c>
      <c r="I71" s="15" t="n">
        <v>0.0630936</v>
      </c>
      <c r="J71" s="15" t="n">
        <v>0.06245478</v>
      </c>
      <c r="K71" s="15" t="n">
        <v>0.06182823</v>
      </c>
      <c r="L71" s="15" t="n">
        <v>0.06120995</v>
      </c>
      <c r="M71" s="15" t="n">
        <v>0.06059785</v>
      </c>
      <c r="N71" s="15" t="n">
        <v>0.05999187</v>
      </c>
      <c r="O71" s="15" t="n">
        <v>0.05939195</v>
      </c>
      <c r="P71" s="15" t="n">
        <v>0.05879803</v>
      </c>
      <c r="Q71" s="15" t="n">
        <v>0.05821005</v>
      </c>
      <c r="R71" s="15" t="n">
        <v>0.05762795</v>
      </c>
      <c r="S71" s="15" t="n">
        <v>0.05705167</v>
      </c>
      <c r="T71" s="15" t="n">
        <v>0.05648116</v>
      </c>
      <c r="U71" s="15" t="n">
        <v>0.05591635</v>
      </c>
      <c r="V71" s="15" t="n">
        <v>0.05535718</v>
      </c>
      <c r="W71" s="15" t="n">
        <v>0.05480361</v>
      </c>
      <c r="X71" s="15" t="n">
        <v>0.05425557</v>
      </c>
      <c r="Y71" s="15" t="n">
        <v>0.05371302</v>
      </c>
      <c r="Z71" s="15" t="n">
        <v>0.05317589</v>
      </c>
      <c r="AA71" s="15" t="n">
        <v>0.05264413</v>
      </c>
      <c r="AB71" s="15" t="n">
        <v>0.05211769</v>
      </c>
      <c r="AC71" s="15" t="n">
        <v>0.05159651</v>
      </c>
      <c r="AD71" s="15" t="n">
        <v>0.05108055</v>
      </c>
      <c r="AE71" s="15" t="n">
        <v>0.05056974</v>
      </c>
      <c r="AF71" s="15" t="n">
        <v>0.05006404</v>
      </c>
      <c r="AG71" s="15" t="n">
        <v>0.0495634</v>
      </c>
      <c r="AH71" s="15" t="n">
        <v>0.04906777</v>
      </c>
      <c r="AI71" s="15" t="n">
        <v>0.04857709</v>
      </c>
      <c r="AJ71" s="15" t="n">
        <v>0.04809132</v>
      </c>
      <c r="AK71" s="15" t="n">
        <v>0.04761041</v>
      </c>
      <c r="AL71" s="15" t="n">
        <v>0.0471343</v>
      </c>
      <c r="AM71" s="15" t="n">
        <v>0.04666296</v>
      </c>
      <c r="AN71" s="15" t="n">
        <v>0.04619633</v>
      </c>
      <c r="AO71" s="15" t="n">
        <v>0.04573437</v>
      </c>
      <c r="AP71" s="15" t="n">
        <v>0.04527702</v>
      </c>
      <c r="AQ71" s="15" t="n">
        <v>0.04482425</v>
      </c>
      <c r="AR71" s="15" t="n">
        <v>0.04437601</v>
      </c>
      <c r="AS71" s="15" t="n">
        <v>0.04393225</v>
      </c>
      <c r="AT71" s="15" t="n">
        <v>0.04349293</v>
      </c>
      <c r="AU71" s="15" t="n">
        <v>0.043058</v>
      </c>
      <c r="AV71" s="15" t="n">
        <v>0.04262742</v>
      </c>
      <c r="AW71" s="15" t="n">
        <v>0.04220114</v>
      </c>
      <c r="AX71" s="15" t="n">
        <v>0.04177913</v>
      </c>
      <c r="AY71" s="15" t="n">
        <v>0.04136134</v>
      </c>
      <c r="AZ71" s="15" t="n">
        <v>0.04094773</v>
      </c>
      <c r="BA71" s="15" t="n">
        <v>0.04053825</v>
      </c>
      <c r="BB71" s="15" t="n">
        <v>0.04013287</v>
      </c>
      <c r="BC71" s="15" t="n">
        <v>0.03973154</v>
      </c>
      <c r="BD71" s="15" t="n">
        <v>0.03933422</v>
      </c>
      <c r="BE71" s="15" t="n">
        <v>0.03894088</v>
      </c>
      <c r="BF71" s="15" t="n">
        <v>0.03855147</v>
      </c>
      <c r="BG71" s="15" t="n">
        <v>0.03816596</v>
      </c>
      <c r="BH71" s="15" t="n">
        <v>0.0377843</v>
      </c>
      <c r="BI71" s="15" t="n">
        <v>0.03740646</v>
      </c>
      <c r="BJ71" s="15" t="n">
        <v>0.03703239</v>
      </c>
      <c r="BK71" s="15" t="n">
        <v>0.03666207</v>
      </c>
      <c r="BL71" s="15" t="n">
        <v>0.03629545</v>
      </c>
      <c r="BM71" s="15" t="n">
        <v>0.03593249</v>
      </c>
      <c r="BN71" s="15" t="n">
        <v>0.03557317</v>
      </c>
      <c r="BO71" s="15" t="n">
        <v>0.03521744</v>
      </c>
      <c r="BP71" s="15" t="n">
        <v>0.03486526</v>
      </c>
      <c r="BQ71" s="15" t="n">
        <v>0.03451661</v>
      </c>
      <c r="BR71" s="15" t="n">
        <v>0.03417144</v>
      </c>
      <c r="BS71" s="15" t="n">
        <v>0.03382973</v>
      </c>
      <c r="BT71" s="15" t="n">
        <v>0.03349143</v>
      </c>
      <c r="BU71" s="15" t="n">
        <v>0.03315652</v>
      </c>
      <c r="BV71" s="15" t="n">
        <v>0.03282495</v>
      </c>
      <c r="BW71" s="15" t="n">
        <v>0.0324967</v>
      </c>
      <c r="BX71" s="15" t="n">
        <v>0.03217173</v>
      </c>
    </row>
    <row r="72">
      <c r="A72" t="n">
        <v>89</v>
      </c>
      <c r="B72" s="15" t="n">
        <v>0.07635822</v>
      </c>
      <c r="C72" s="15" t="n">
        <v>0.07546873</v>
      </c>
      <c r="D72" s="15" t="n">
        <v>0.0746111</v>
      </c>
      <c r="E72" s="15" t="n">
        <v>0.07378351</v>
      </c>
      <c r="F72" s="15" t="n">
        <v>0.07298391999999999</v>
      </c>
      <c r="G72" s="15" t="n">
        <v>0.07220993000000001</v>
      </c>
      <c r="H72" s="15" t="n">
        <v>0.07145873</v>
      </c>
      <c r="I72" s="15" t="n">
        <v>0.07072734999999999</v>
      </c>
      <c r="J72" s="15" t="n">
        <v>0.07001243</v>
      </c>
      <c r="K72" s="15" t="n">
        <v>0.06931035000000001</v>
      </c>
      <c r="L72" s="15" t="n">
        <v>0.06861725</v>
      </c>
      <c r="M72" s="15" t="n">
        <v>0.06793107</v>
      </c>
      <c r="N72" s="15" t="n">
        <v>0.06725175999999999</v>
      </c>
      <c r="O72" s="15" t="n">
        <v>0.06657925000000001</v>
      </c>
      <c r="P72" s="15" t="n">
        <v>0.06591345</v>
      </c>
      <c r="Q72" s="15" t="n">
        <v>0.06525432</v>
      </c>
      <c r="R72" s="15" t="n">
        <v>0.06460177</v>
      </c>
      <c r="S72" s="15" t="n">
        <v>0.06395576</v>
      </c>
      <c r="T72" s="15" t="n">
        <v>0.0633162</v>
      </c>
      <c r="U72" s="15" t="n">
        <v>0.06268304</v>
      </c>
      <c r="V72" s="15" t="n">
        <v>0.06205621</v>
      </c>
      <c r="W72" s="15" t="n">
        <v>0.06143565</v>
      </c>
      <c r="X72" s="15" t="n">
        <v>0.06082129</v>
      </c>
      <c r="Y72" s="15" t="n">
        <v>0.06021308</v>
      </c>
      <c r="Z72" s="15" t="n">
        <v>0.05961095</v>
      </c>
      <c r="AA72" s="15" t="n">
        <v>0.05901484</v>
      </c>
      <c r="AB72" s="15" t="n">
        <v>0.05842469</v>
      </c>
      <c r="AC72" s="15" t="n">
        <v>0.05784044</v>
      </c>
      <c r="AD72" s="15" t="n">
        <v>0.05726204</v>
      </c>
      <c r="AE72" s="15" t="n">
        <v>0.05668942</v>
      </c>
      <c r="AF72" s="15" t="n">
        <v>0.05612252</v>
      </c>
      <c r="AG72" s="15" t="n">
        <v>0.0555613</v>
      </c>
      <c r="AH72" s="15" t="n">
        <v>0.05500568</v>
      </c>
      <c r="AI72" s="15" t="n">
        <v>0.05445563</v>
      </c>
      <c r="AJ72" s="15" t="n">
        <v>0.05391107</v>
      </c>
      <c r="AK72" s="15" t="n">
        <v>0.05337196</v>
      </c>
      <c r="AL72" s="15" t="n">
        <v>0.05283824</v>
      </c>
      <c r="AM72" s="15" t="n">
        <v>0.05230986</v>
      </c>
      <c r="AN72" s="15" t="n">
        <v>0.05178676</v>
      </c>
      <c r="AO72" s="15" t="n">
        <v>0.05126889</v>
      </c>
      <c r="AP72" s="15" t="n">
        <v>0.0507562</v>
      </c>
      <c r="AQ72" s="15" t="n">
        <v>0.05024864</v>
      </c>
      <c r="AR72" s="15" t="n">
        <v>0.04974615</v>
      </c>
      <c r="AS72" s="15" t="n">
        <v>0.04924869</v>
      </c>
      <c r="AT72" s="15" t="n">
        <v>0.04875621</v>
      </c>
      <c r="AU72" s="15" t="n">
        <v>0.04826864</v>
      </c>
      <c r="AV72" s="15" t="n">
        <v>0.04778596</v>
      </c>
      <c r="AW72" s="15" t="n">
        <v>0.0473081</v>
      </c>
      <c r="AX72" s="15" t="n">
        <v>0.04683502</v>
      </c>
      <c r="AY72" s="15" t="n">
        <v>0.04636667</v>
      </c>
      <c r="AZ72" s="15" t="n">
        <v>0.045903</v>
      </c>
      <c r="BA72" s="15" t="n">
        <v>0.04544397</v>
      </c>
      <c r="BB72" s="15" t="n">
        <v>0.04498953</v>
      </c>
      <c r="BC72" s="15" t="n">
        <v>0.04453963</v>
      </c>
      <c r="BD72" s="15" t="n">
        <v>0.04409424</v>
      </c>
      <c r="BE72" s="15" t="n">
        <v>0.0436533</v>
      </c>
      <c r="BF72" s="15" t="n">
        <v>0.04321676</v>
      </c>
      <c r="BG72" s="15" t="n">
        <v>0.0427846</v>
      </c>
      <c r="BH72" s="15" t="n">
        <v>0.04235675</v>
      </c>
      <c r="BI72" s="15" t="n">
        <v>0.04193318</v>
      </c>
      <c r="BJ72" s="15" t="n">
        <v>0.04151385</v>
      </c>
      <c r="BK72" s="15" t="n">
        <v>0.04109871</v>
      </c>
      <c r="BL72" s="15" t="n">
        <v>0.04068772</v>
      </c>
      <c r="BM72" s="15" t="n">
        <v>0.04028085</v>
      </c>
      <c r="BN72" s="15" t="n">
        <v>0.03987804</v>
      </c>
      <c r="BO72" s="15" t="n">
        <v>0.03947926</v>
      </c>
      <c r="BP72" s="15" t="n">
        <v>0.03908447</v>
      </c>
      <c r="BQ72" s="15" t="n">
        <v>0.03869362</v>
      </c>
      <c r="BR72" s="15" t="n">
        <v>0.03830668</v>
      </c>
      <c r="BS72" s="15" t="n">
        <v>0.03792362</v>
      </c>
      <c r="BT72" s="15" t="n">
        <v>0.03754438</v>
      </c>
      <c r="BU72" s="15" t="n">
        <v>0.03716894</v>
      </c>
      <c r="BV72" s="15" t="n">
        <v>0.03679725</v>
      </c>
      <c r="BW72" s="15" t="n">
        <v>0.03642928</v>
      </c>
      <c r="BX72" s="15" t="n">
        <v>0.03606498</v>
      </c>
    </row>
    <row r="73">
      <c r="A73" t="n">
        <v>90</v>
      </c>
      <c r="B73" s="15" t="n">
        <v>0.0849921</v>
      </c>
      <c r="C73" s="15" t="n">
        <v>0.08402370000000001</v>
      </c>
      <c r="D73" s="15" t="n">
        <v>0.08308659</v>
      </c>
      <c r="E73" s="15" t="n">
        <v>0.08217903</v>
      </c>
      <c r="F73" s="15" t="n">
        <v>0.08129914000000001</v>
      </c>
      <c r="G73" s="15" t="n">
        <v>0.0804446</v>
      </c>
      <c r="H73" s="15" t="n">
        <v>0.07961281000000001</v>
      </c>
      <c r="I73" s="15" t="n">
        <v>0.07880084</v>
      </c>
      <c r="J73" s="15" t="n">
        <v>0.07800558</v>
      </c>
      <c r="K73" s="15" t="n">
        <v>0.07722365</v>
      </c>
      <c r="L73" s="15" t="n">
        <v>0.07645141</v>
      </c>
      <c r="M73" s="15" t="n">
        <v>0.0756869</v>
      </c>
      <c r="N73" s="15" t="n">
        <v>0.07493002999999999</v>
      </c>
      <c r="O73" s="15" t="n">
        <v>0.07418073</v>
      </c>
      <c r="P73" s="15" t="n">
        <v>0.07343892</v>
      </c>
      <c r="Q73" s="15" t="n">
        <v>0.07270453</v>
      </c>
      <c r="R73" s="15" t="n">
        <v>0.07197749000000001</v>
      </c>
      <c r="S73" s="15" t="n">
        <v>0.07125771</v>
      </c>
      <c r="T73" s="15" t="n">
        <v>0.07054514000000001</v>
      </c>
      <c r="U73" s="15" t="n">
        <v>0.06983969</v>
      </c>
      <c r="V73" s="15" t="n">
        <v>0.06914128999999999</v>
      </c>
      <c r="W73" s="15" t="n">
        <v>0.06844988</v>
      </c>
      <c r="X73" s="15" t="n">
        <v>0.06776538</v>
      </c>
      <c r="Y73" s="15" t="n">
        <v>0.06708772</v>
      </c>
      <c r="Z73" s="15" t="n">
        <v>0.06641685</v>
      </c>
      <c r="AA73" s="15" t="n">
        <v>0.06575267999999999</v>
      </c>
      <c r="AB73" s="15" t="n">
        <v>0.06509515</v>
      </c>
      <c r="AC73" s="15" t="n">
        <v>0.06444419999999999</v>
      </c>
      <c r="AD73" s="15" t="n">
        <v>0.06379976</v>
      </c>
      <c r="AE73" s="15" t="n">
        <v>0.06316176</v>
      </c>
      <c r="AF73" s="15" t="n">
        <v>0.06253014</v>
      </c>
      <c r="AG73" s="15" t="n">
        <v>0.06190484</v>
      </c>
      <c r="AH73" s="15" t="n">
        <v>0.06128579</v>
      </c>
      <c r="AI73" s="15" t="n">
        <v>0.06067293</v>
      </c>
      <c r="AJ73" s="15" t="n">
        <v>0.0600662</v>
      </c>
      <c r="AK73" s="15" t="n">
        <v>0.05946554</v>
      </c>
      <c r="AL73" s="15" t="n">
        <v>0.05887089</v>
      </c>
      <c r="AM73" s="15" t="n">
        <v>0.05828218</v>
      </c>
      <c r="AN73" s="15" t="n">
        <v>0.05769936</v>
      </c>
      <c r="AO73" s="15" t="n">
        <v>0.05712236</v>
      </c>
      <c r="AP73" s="15" t="n">
        <v>0.05655114</v>
      </c>
      <c r="AQ73" s="15" t="n">
        <v>0.05598563</v>
      </c>
      <c r="AR73" s="15" t="n">
        <v>0.05542577</v>
      </c>
      <c r="AS73" s="15" t="n">
        <v>0.05487151</v>
      </c>
      <c r="AT73" s="15" t="n">
        <v>0.0543228</v>
      </c>
      <c r="AU73" s="15" t="n">
        <v>0.05377957</v>
      </c>
      <c r="AV73" s="15" t="n">
        <v>0.05324178</v>
      </c>
      <c r="AW73" s="15" t="n">
        <v>0.05270936</v>
      </c>
      <c r="AX73" s="15" t="n">
        <v>0.05218226</v>
      </c>
      <c r="AY73" s="15" t="n">
        <v>0.05166044</v>
      </c>
      <c r="AZ73" s="15" t="n">
        <v>0.05114384</v>
      </c>
      <c r="BA73" s="15" t="n">
        <v>0.0506324</v>
      </c>
      <c r="BB73" s="15" t="n">
        <v>0.05012607</v>
      </c>
      <c r="BC73" s="15" t="n">
        <v>0.04962481</v>
      </c>
      <c r="BD73" s="15" t="n">
        <v>0.04912857</v>
      </c>
      <c r="BE73" s="15" t="n">
        <v>0.04863728</v>
      </c>
      <c r="BF73" s="15" t="n">
        <v>0.04815091</v>
      </c>
      <c r="BG73" s="15" t="n">
        <v>0.0476694</v>
      </c>
      <c r="BH73" s="15" t="n">
        <v>0.0471927</v>
      </c>
      <c r="BI73" s="15" t="n">
        <v>0.04672078</v>
      </c>
      <c r="BJ73" s="15" t="n">
        <v>0.04625357</v>
      </c>
      <c r="BK73" s="15" t="n">
        <v>0.04579103</v>
      </c>
      <c r="BL73" s="15" t="n">
        <v>0.04533312</v>
      </c>
      <c r="BM73" s="15" t="n">
        <v>0.04487979</v>
      </c>
      <c r="BN73" s="15" t="n">
        <v>0.04443099</v>
      </c>
      <c r="BO73" s="15" t="n">
        <v>0.04398668</v>
      </c>
      <c r="BP73" s="15" t="n">
        <v>0.04354682</v>
      </c>
      <c r="BQ73" s="15" t="n">
        <v>0.04311135</v>
      </c>
      <c r="BR73" s="15" t="n">
        <v>0.04268024</v>
      </c>
      <c r="BS73" s="15" t="n">
        <v>0.04225343</v>
      </c>
      <c r="BT73" s="15" t="n">
        <v>0.0418309</v>
      </c>
      <c r="BU73" s="15" t="n">
        <v>0.04141259</v>
      </c>
      <c r="BV73" s="15" t="n">
        <v>0.04099846</v>
      </c>
      <c r="BW73" s="15" t="n">
        <v>0.04058848</v>
      </c>
      <c r="BX73" s="15" t="n">
        <v>0.04018259</v>
      </c>
    </row>
    <row r="74">
      <c r="A74" t="n">
        <v>91</v>
      </c>
      <c r="B74" s="15" t="n">
        <v>0.09522156</v>
      </c>
      <c r="C74" s="15" t="n">
        <v>0.09420897</v>
      </c>
      <c r="D74" s="15" t="n">
        <v>0.09322825999999999</v>
      </c>
      <c r="E74" s="15" t="n">
        <v>0.09227789</v>
      </c>
      <c r="F74" s="15" t="n">
        <v>0.09135575999999999</v>
      </c>
      <c r="G74" s="15" t="n">
        <v>0.09045946000000001</v>
      </c>
      <c r="H74" s="15" t="n">
        <v>0.08958644</v>
      </c>
      <c r="I74" s="15" t="n">
        <v>0.08873367</v>
      </c>
      <c r="J74" s="15" t="n">
        <v>0.08789788</v>
      </c>
      <c r="K74" s="15" t="n">
        <v>0.0870756</v>
      </c>
      <c r="L74" s="15" t="n">
        <v>0.08626292000000001</v>
      </c>
      <c r="M74" s="15" t="n">
        <v>0.08545783</v>
      </c>
      <c r="N74" s="15" t="n">
        <v>0.08466025000000001</v>
      </c>
      <c r="O74" s="15" t="n">
        <v>0.08387012000000001</v>
      </c>
      <c r="P74" s="15" t="n">
        <v>0.08308736</v>
      </c>
      <c r="Q74" s="15" t="n">
        <v>0.08231189999999999</v>
      </c>
      <c r="R74" s="15" t="n">
        <v>0.08154369</v>
      </c>
      <c r="S74" s="15" t="n">
        <v>0.08078264</v>
      </c>
      <c r="T74" s="15" t="n">
        <v>0.08002869999999999</v>
      </c>
      <c r="U74" s="15" t="n">
        <v>0.07928179</v>
      </c>
      <c r="V74" s="15" t="n">
        <v>0.07854185</v>
      </c>
      <c r="W74" s="15" t="n">
        <v>0.07780882</v>
      </c>
      <c r="X74" s="15" t="n">
        <v>0.07708263</v>
      </c>
      <c r="Y74" s="15" t="n">
        <v>0.07636322</v>
      </c>
      <c r="Z74" s="15" t="n">
        <v>0.07565052</v>
      </c>
      <c r="AA74" s="15" t="n">
        <v>0.07494447</v>
      </c>
      <c r="AB74" s="15" t="n">
        <v>0.07424501999999999</v>
      </c>
      <c r="AC74" s="15" t="n">
        <v>0.07355209</v>
      </c>
      <c r="AD74" s="15" t="n">
        <v>0.07286563</v>
      </c>
      <c r="AE74" s="15" t="n">
        <v>0.07218557</v>
      </c>
      <c r="AF74" s="15" t="n">
        <v>0.07151186</v>
      </c>
      <c r="AG74" s="15" t="n">
        <v>0.07084443999999999</v>
      </c>
      <c r="AH74" s="15" t="n">
        <v>0.07018325</v>
      </c>
      <c r="AI74" s="15" t="n">
        <v>0.06952823</v>
      </c>
      <c r="AJ74" s="15" t="n">
        <v>0.06887933</v>
      </c>
      <c r="AK74" s="15" t="n">
        <v>0.06823646999999999</v>
      </c>
      <c r="AL74" s="15" t="n">
        <v>0.06759962</v>
      </c>
      <c r="AM74" s="15" t="n">
        <v>0.06696872</v>
      </c>
      <c r="AN74" s="15" t="n">
        <v>0.06634370000000001</v>
      </c>
      <c r="AO74" s="15" t="n">
        <v>0.06572451</v>
      </c>
      <c r="AP74" s="15" t="n">
        <v>0.06511110000000001</v>
      </c>
      <c r="AQ74" s="15" t="n">
        <v>0.06450342000000001</v>
      </c>
      <c r="AR74" s="15" t="n">
        <v>0.06390141000000001</v>
      </c>
      <c r="AS74" s="15" t="n">
        <v>0.06330502</v>
      </c>
      <c r="AT74" s="15" t="n">
        <v>0.06271419</v>
      </c>
      <c r="AU74" s="15" t="n">
        <v>0.06212888</v>
      </c>
      <c r="AV74" s="15" t="n">
        <v>0.06154903</v>
      </c>
      <c r="AW74" s="15" t="n">
        <v>0.0609746</v>
      </c>
      <c r="AX74" s="15" t="n">
        <v>0.06040552</v>
      </c>
      <c r="AY74" s="15" t="n">
        <v>0.05984176</v>
      </c>
      <c r="AZ74" s="15" t="n">
        <v>0.05928325</v>
      </c>
      <c r="BA74" s="15" t="n">
        <v>0.05872996</v>
      </c>
      <c r="BB74" s="15" t="n">
        <v>0.05818184</v>
      </c>
      <c r="BC74" s="15" t="n">
        <v>0.05763882</v>
      </c>
      <c r="BD74" s="15" t="n">
        <v>0.05710088</v>
      </c>
      <c r="BE74" s="15" t="n">
        <v>0.05656796</v>
      </c>
      <c r="BF74" s="15" t="n">
        <v>0.05604001</v>
      </c>
      <c r="BG74" s="15" t="n">
        <v>0.05551699</v>
      </c>
      <c r="BH74" s="15" t="n">
        <v>0.05499885</v>
      </c>
      <c r="BI74" s="15" t="n">
        <v>0.05448554</v>
      </c>
      <c r="BJ74" s="15" t="n">
        <v>0.05397703</v>
      </c>
      <c r="BK74" s="15" t="n">
        <v>0.05347326</v>
      </c>
      <c r="BL74" s="15" t="n">
        <v>0.0529742</v>
      </c>
      <c r="BM74" s="15" t="n">
        <v>0.05247979</v>
      </c>
      <c r="BN74" s="15" t="n">
        <v>0.05199</v>
      </c>
      <c r="BO74" s="15" t="n">
        <v>0.05150477</v>
      </c>
      <c r="BP74" s="15" t="n">
        <v>0.05102408</v>
      </c>
      <c r="BQ74" s="15" t="n">
        <v>0.05054787</v>
      </c>
      <c r="BR74" s="15" t="n">
        <v>0.05007611</v>
      </c>
      <c r="BS74" s="15" t="n">
        <v>0.04960875</v>
      </c>
      <c r="BT74" s="15" t="n">
        <v>0.04914575</v>
      </c>
      <c r="BU74" s="15" t="n">
        <v>0.04868707</v>
      </c>
      <c r="BV74" s="15" t="n">
        <v>0.04823268</v>
      </c>
      <c r="BW74" s="15" t="n">
        <v>0.04778252</v>
      </c>
      <c r="BX74" s="15" t="n">
        <v>0.04733657</v>
      </c>
    </row>
    <row r="75">
      <c r="A75" t="n">
        <v>92</v>
      </c>
      <c r="B75" s="15" t="n">
        <v>0.10733651</v>
      </c>
      <c r="C75" s="15" t="n">
        <v>0.10627667</v>
      </c>
      <c r="D75" s="15" t="n">
        <v>0.1052494</v>
      </c>
      <c r="E75" s="15" t="n">
        <v>0.1042531</v>
      </c>
      <c r="F75" s="15" t="n">
        <v>0.10328574</v>
      </c>
      <c r="G75" s="15" t="n">
        <v>0.10234481</v>
      </c>
      <c r="H75" s="15" t="n">
        <v>0.10142759</v>
      </c>
      <c r="I75" s="15" t="n">
        <v>0.10053107</v>
      </c>
      <c r="J75" s="15" t="n">
        <v>0.09965183</v>
      </c>
      <c r="K75" s="15" t="n">
        <v>0.09878615</v>
      </c>
      <c r="L75" s="15" t="n">
        <v>0.09792997000000001</v>
      </c>
      <c r="M75" s="15" t="n">
        <v>0.09708122</v>
      </c>
      <c r="N75" s="15" t="n">
        <v>0.09623981</v>
      </c>
      <c r="O75" s="15" t="n">
        <v>0.0954057</v>
      </c>
      <c r="P75" s="15" t="n">
        <v>0.09457881999999999</v>
      </c>
      <c r="Q75" s="15" t="n">
        <v>0.09375911000000001</v>
      </c>
      <c r="R75" s="15" t="n">
        <v>0.0929465</v>
      </c>
      <c r="S75" s="15" t="n">
        <v>0.09214093</v>
      </c>
      <c r="T75" s="15" t="n">
        <v>0.09134233999999999</v>
      </c>
      <c r="U75" s="15" t="n">
        <v>0.09055067999999999</v>
      </c>
      <c r="V75" s="15" t="n">
        <v>0.08976588000000001</v>
      </c>
      <c r="W75" s="15" t="n">
        <v>0.08898788000000001</v>
      </c>
      <c r="X75" s="15" t="n">
        <v>0.08821662</v>
      </c>
      <c r="Y75" s="15" t="n">
        <v>0.08745203999999999</v>
      </c>
      <c r="Z75" s="15" t="n">
        <v>0.0866941</v>
      </c>
      <c r="AA75" s="15" t="n">
        <v>0.08594272</v>
      </c>
      <c r="AB75" s="15" t="n">
        <v>0.08519785000000001</v>
      </c>
      <c r="AC75" s="15" t="n">
        <v>0.08445944</v>
      </c>
      <c r="AD75" s="15" t="n">
        <v>0.08372743000000001</v>
      </c>
      <c r="AE75" s="15" t="n">
        <v>0.08300177</v>
      </c>
      <c r="AF75" s="15" t="n">
        <v>0.08228239</v>
      </c>
      <c r="AG75" s="15" t="n">
        <v>0.08156925</v>
      </c>
      <c r="AH75" s="15" t="n">
        <v>0.08086229</v>
      </c>
      <c r="AI75" s="15" t="n">
        <v>0.08016146</v>
      </c>
      <c r="AJ75" s="15" t="n">
        <v>0.0794667</v>
      </c>
      <c r="AK75" s="15" t="n">
        <v>0.07877795999999999</v>
      </c>
      <c r="AL75" s="15" t="n">
        <v>0.07809518999999999</v>
      </c>
      <c r="AM75" s="15" t="n">
        <v>0.07741834</v>
      </c>
      <c r="AN75" s="15" t="n">
        <v>0.07674736</v>
      </c>
      <c r="AO75" s="15" t="n">
        <v>0.07608218999999999</v>
      </c>
      <c r="AP75" s="15" t="n">
        <v>0.07542277999999999</v>
      </c>
      <c r="AQ75" s="15" t="n">
        <v>0.07476909</v>
      </c>
      <c r="AR75" s="15" t="n">
        <v>0.07412107</v>
      </c>
      <c r="AS75" s="15" t="n">
        <v>0.07347866</v>
      </c>
      <c r="AT75" s="15" t="n">
        <v>0.07284182</v>
      </c>
      <c r="AU75" s="15" t="n">
        <v>0.0722105</v>
      </c>
      <c r="AV75" s="15" t="n">
        <v>0.07158465</v>
      </c>
      <c r="AW75" s="15" t="n">
        <v>0.07096423</v>
      </c>
      <c r="AX75" s="15" t="n">
        <v>0.07034918</v>
      </c>
      <c r="AY75" s="15" t="n">
        <v>0.06973947</v>
      </c>
      <c r="AZ75" s="15" t="n">
        <v>0.06913503</v>
      </c>
      <c r="BA75" s="15" t="n">
        <v>0.06853584</v>
      </c>
      <c r="BB75" s="15" t="n">
        <v>0.06794184</v>
      </c>
      <c r="BC75" s="15" t="n">
        <v>0.06735299</v>
      </c>
      <c r="BD75" s="15" t="n">
        <v>0.06676923999999999</v>
      </c>
      <c r="BE75" s="15" t="n">
        <v>0.06619055</v>
      </c>
      <c r="BF75" s="15" t="n">
        <v>0.06561688</v>
      </c>
      <c r="BG75" s="15" t="n">
        <v>0.06504818</v>
      </c>
      <c r="BH75" s="15" t="n">
        <v>0.0644844</v>
      </c>
      <c r="BI75" s="15" t="n">
        <v>0.06392552</v>
      </c>
      <c r="BJ75" s="15" t="n">
        <v>0.06337147</v>
      </c>
      <c r="BK75" s="15" t="n">
        <v>0.06282223000000001</v>
      </c>
      <c r="BL75" s="15" t="n">
        <v>0.06227775</v>
      </c>
      <c r="BM75" s="15" t="n">
        <v>0.06173799</v>
      </c>
      <c r="BN75" s="15" t="n">
        <v>0.06120291</v>
      </c>
      <c r="BO75" s="15" t="n">
        <v>0.06067246</v>
      </c>
      <c r="BP75" s="15" t="n">
        <v>0.06014662</v>
      </c>
      <c r="BQ75" s="15" t="n">
        <v>0.05962532</v>
      </c>
      <c r="BR75" s="15" t="n">
        <v>0.05910855</v>
      </c>
      <c r="BS75" s="15" t="n">
        <v>0.05859626</v>
      </c>
      <c r="BT75" s="15" t="n">
        <v>0.0580884</v>
      </c>
      <c r="BU75" s="15" t="n">
        <v>0.05758495</v>
      </c>
      <c r="BV75" s="15" t="n">
        <v>0.05708586</v>
      </c>
      <c r="BW75" s="15" t="n">
        <v>0.0565911</v>
      </c>
      <c r="BX75" s="15" t="n">
        <v>0.05610063</v>
      </c>
    </row>
    <row r="76">
      <c r="A76" t="n">
        <v>93</v>
      </c>
      <c r="B76" s="15" t="n">
        <v>0.12204507</v>
      </c>
      <c r="C76" s="15" t="n">
        <v>0.12093263</v>
      </c>
      <c r="D76" s="15" t="n">
        <v>0.11985367</v>
      </c>
      <c r="E76" s="15" t="n">
        <v>0.11880639</v>
      </c>
      <c r="F76" s="15" t="n">
        <v>0.11778869</v>
      </c>
      <c r="G76" s="15" t="n">
        <v>0.11679821</v>
      </c>
      <c r="H76" s="15" t="n">
        <v>0.11583205</v>
      </c>
      <c r="I76" s="15" t="n">
        <v>0.11488698</v>
      </c>
      <c r="J76" s="15" t="n">
        <v>0.1139595</v>
      </c>
      <c r="K76" s="15" t="n">
        <v>0.11304566</v>
      </c>
      <c r="L76" s="15" t="n">
        <v>0.11214129</v>
      </c>
      <c r="M76" s="15" t="n">
        <v>0.11124416</v>
      </c>
      <c r="N76" s="15" t="n">
        <v>0.11035421</v>
      </c>
      <c r="O76" s="15" t="n">
        <v>0.10947137</v>
      </c>
      <c r="P76" s="15" t="n">
        <v>0.1085956</v>
      </c>
      <c r="Q76" s="15" t="n">
        <v>0.10772684</v>
      </c>
      <c r="R76" s="15" t="n">
        <v>0.10686502</v>
      </c>
      <c r="S76" s="15" t="n">
        <v>0.1060101</v>
      </c>
      <c r="T76" s="15" t="n">
        <v>0.10516202</v>
      </c>
      <c r="U76" s="15" t="n">
        <v>0.10432073</v>
      </c>
      <c r="V76" s="15" t="n">
        <v>0.10348616</v>
      </c>
      <c r="W76" s="15" t="n">
        <v>0.10265827</v>
      </c>
      <c r="X76" s="15" t="n">
        <v>0.101837</v>
      </c>
      <c r="Y76" s="15" t="n">
        <v>0.10102231</v>
      </c>
      <c r="Z76" s="15" t="n">
        <v>0.10021413</v>
      </c>
      <c r="AA76" s="15" t="n">
        <v>0.09941242</v>
      </c>
      <c r="AB76" s="15" t="n">
        <v>0.09861712</v>
      </c>
      <c r="AC76" s="15" t="n">
        <v>0.09782818</v>
      </c>
      <c r="AD76" s="15" t="n">
        <v>0.09704556</v>
      </c>
      <c r="AE76" s="15" t="n">
        <v>0.09626919</v>
      </c>
      <c r="AF76" s="15" t="n">
        <v>0.09549903999999999</v>
      </c>
      <c r="AG76" s="15" t="n">
        <v>0.09473505</v>
      </c>
      <c r="AH76" s="15" t="n">
        <v>0.09397716</v>
      </c>
      <c r="AI76" s="15" t="n">
        <v>0.09322535</v>
      </c>
      <c r="AJ76" s="15" t="n">
        <v>0.09247954</v>
      </c>
      <c r="AK76" s="15" t="n">
        <v>0.09173971</v>
      </c>
      <c r="AL76" s="15" t="n">
        <v>0.09100579</v>
      </c>
      <c r="AM76" s="15" t="n">
        <v>0.09027774</v>
      </c>
      <c r="AN76" s="15" t="n">
        <v>0.08955552</v>
      </c>
      <c r="AO76" s="15" t="n">
        <v>0.08883908</v>
      </c>
      <c r="AP76" s="15" t="n">
        <v>0.08812837</v>
      </c>
      <c r="AQ76" s="15" t="n">
        <v>0.08742334</v>
      </c>
      <c r="AR76" s="15" t="n">
        <v>0.08672394999999999</v>
      </c>
      <c r="AS76" s="15" t="n">
        <v>0.08603015999999999</v>
      </c>
      <c r="AT76" s="15" t="n">
        <v>0.08534192</v>
      </c>
      <c r="AU76" s="15" t="n">
        <v>0.08465918</v>
      </c>
      <c r="AV76" s="15" t="n">
        <v>0.08398191000000001</v>
      </c>
      <c r="AW76" s="15" t="n">
        <v>0.08331005</v>
      </c>
      <c r="AX76" s="15" t="n">
        <v>0.08264357</v>
      </c>
      <c r="AY76" s="15" t="n">
        <v>0.08198243</v>
      </c>
      <c r="AZ76" s="15" t="n">
        <v>0.08132657</v>
      </c>
      <c r="BA76" s="15" t="n">
        <v>0.08067595</v>
      </c>
      <c r="BB76" s="15" t="n">
        <v>0.08003055000000001</v>
      </c>
      <c r="BC76" s="15" t="n">
        <v>0.0793903</v>
      </c>
      <c r="BD76" s="15" t="n">
        <v>0.07875517999999999</v>
      </c>
      <c r="BE76" s="15" t="n">
        <v>0.07812514</v>
      </c>
      <c r="BF76" s="15" t="n">
        <v>0.07750014</v>
      </c>
      <c r="BG76" s="15" t="n">
        <v>0.07688014</v>
      </c>
      <c r="BH76" s="15" t="n">
        <v>0.07626508999999999</v>
      </c>
      <c r="BI76" s="15" t="n">
        <v>0.07565497</v>
      </c>
      <c r="BJ76" s="15" t="n">
        <v>0.07504973</v>
      </c>
      <c r="BK76" s="15" t="n">
        <v>0.07444934</v>
      </c>
      <c r="BL76" s="15" t="n">
        <v>0.07385374</v>
      </c>
      <c r="BM76" s="15" t="n">
        <v>0.07326291</v>
      </c>
      <c r="BN76" s="15" t="n">
        <v>0.07267680999999999</v>
      </c>
      <c r="BO76" s="15" t="n">
        <v>0.07209539</v>
      </c>
      <c r="BP76" s="15" t="n">
        <v>0.07151863</v>
      </c>
      <c r="BQ76" s="15" t="n">
        <v>0.07094648000000001</v>
      </c>
      <c r="BR76" s="15" t="n">
        <v>0.07037891</v>
      </c>
      <c r="BS76" s="15" t="n">
        <v>0.06981588</v>
      </c>
      <c r="BT76" s="15" t="n">
        <v>0.06925735</v>
      </c>
      <c r="BU76" s="15" t="n">
        <v>0.06870329</v>
      </c>
      <c r="BV76" s="15" t="n">
        <v>0.06815367</v>
      </c>
      <c r="BW76" s="15" t="n">
        <v>0.06760844000000001</v>
      </c>
      <c r="BX76" s="15" t="n">
        <v>0.06706757000000001</v>
      </c>
    </row>
    <row r="77">
      <c r="A77" t="n">
        <v>94</v>
      </c>
      <c r="B77" s="15" t="n">
        <v>0.13684225</v>
      </c>
      <c r="C77" s="15" t="n">
        <v>0.13569893</v>
      </c>
      <c r="D77" s="15" t="n">
        <v>0.13458905</v>
      </c>
      <c r="E77" s="15" t="n">
        <v>0.13351099</v>
      </c>
      <c r="F77" s="15" t="n">
        <v>0.13246266</v>
      </c>
      <c r="G77" s="15" t="n">
        <v>0.13144164</v>
      </c>
      <c r="H77" s="15" t="n">
        <v>0.13044492</v>
      </c>
      <c r="I77" s="15" t="n">
        <v>0.12946932</v>
      </c>
      <c r="J77" s="15" t="n">
        <v>0.12851125</v>
      </c>
      <c r="K77" s="15" t="n">
        <v>0.12756656</v>
      </c>
      <c r="L77" s="15" t="n">
        <v>0.12663112</v>
      </c>
      <c r="M77" s="15" t="n">
        <v>0.12570253</v>
      </c>
      <c r="N77" s="15" t="n">
        <v>0.12478075</v>
      </c>
      <c r="O77" s="15" t="n">
        <v>0.12386574</v>
      </c>
      <c r="P77" s="15" t="n">
        <v>0.12295743</v>
      </c>
      <c r="Q77" s="15" t="n">
        <v>0.12205578</v>
      </c>
      <c r="R77" s="15" t="n">
        <v>0.12116075</v>
      </c>
      <c r="S77" s="15" t="n">
        <v>0.12027227</v>
      </c>
      <c r="T77" s="15" t="n">
        <v>0.11939032</v>
      </c>
      <c r="U77" s="15" t="n">
        <v>0.11851483</v>
      </c>
      <c r="V77" s="15" t="n">
        <v>0.11764576</v>
      </c>
      <c r="W77" s="15" t="n">
        <v>0.11678306</v>
      </c>
      <c r="X77" s="15" t="n">
        <v>0.11592669</v>
      </c>
      <c r="Y77" s="15" t="n">
        <v>0.1150766</v>
      </c>
      <c r="Z77" s="15" t="n">
        <v>0.11423275</v>
      </c>
      <c r="AA77" s="15" t="n">
        <v>0.11339508</v>
      </c>
      <c r="AB77" s="15" t="n">
        <v>0.11256355</v>
      </c>
      <c r="AC77" s="15" t="n">
        <v>0.11173812</v>
      </c>
      <c r="AD77" s="15" t="n">
        <v>0.11091875</v>
      </c>
      <c r="AE77" s="15" t="n">
        <v>0.11010538</v>
      </c>
      <c r="AF77" s="15" t="n">
        <v>0.10929798</v>
      </c>
      <c r="AG77" s="15" t="n">
        <v>0.10849649</v>
      </c>
      <c r="AH77" s="15" t="n">
        <v>0.10770089</v>
      </c>
      <c r="AI77" s="15" t="n">
        <v>0.10691112</v>
      </c>
      <c r="AJ77" s="15" t="n">
        <v>0.10612714</v>
      </c>
      <c r="AK77" s="15" t="n">
        <v>0.10534891</v>
      </c>
      <c r="AL77" s="15" t="n">
        <v>0.10457639</v>
      </c>
      <c r="AM77" s="15" t="n">
        <v>0.10380953</v>
      </c>
      <c r="AN77" s="15" t="n">
        <v>0.10304829</v>
      </c>
      <c r="AO77" s="15" t="n">
        <v>0.10229264</v>
      </c>
      <c r="AP77" s="15" t="n">
        <v>0.10154253</v>
      </c>
      <c r="AQ77" s="15" t="n">
        <v>0.10079792</v>
      </c>
      <c r="AR77" s="15" t="n">
        <v>0.10005876</v>
      </c>
      <c r="AS77" s="15" t="n">
        <v>0.09932502999999999</v>
      </c>
      <c r="AT77" s="15" t="n">
        <v>0.09859668000000001</v>
      </c>
      <c r="AU77" s="15" t="n">
        <v>0.09787367</v>
      </c>
      <c r="AV77" s="15" t="n">
        <v>0.09715596999999999</v>
      </c>
      <c r="AW77" s="15" t="n">
        <v>0.09644352</v>
      </c>
      <c r="AX77" s="15" t="n">
        <v>0.0957363</v>
      </c>
      <c r="AY77" s="15" t="n">
        <v>0.09503427</v>
      </c>
      <c r="AZ77" s="15" t="n">
        <v>0.09433738</v>
      </c>
      <c r="BA77" s="15" t="n">
        <v>0.0936456</v>
      </c>
      <c r="BB77" s="15" t="n">
        <v>0.0929589</v>
      </c>
      <c r="BC77" s="15" t="n">
        <v>0.09227723</v>
      </c>
      <c r="BD77" s="15" t="n">
        <v>0.09160056</v>
      </c>
      <c r="BE77" s="15" t="n">
        <v>0.09092886</v>
      </c>
      <c r="BF77" s="15" t="n">
        <v>0.09026207999999999</v>
      </c>
      <c r="BG77" s="15" t="n">
        <v>0.08960018</v>
      </c>
      <c r="BH77" s="15" t="n">
        <v>0.08894315</v>
      </c>
      <c r="BI77" s="15" t="n">
        <v>0.08829093</v>
      </c>
      <c r="BJ77" s="15" t="n">
        <v>0.08764349</v>
      </c>
      <c r="BK77" s="15" t="n">
        <v>0.0870008</v>
      </c>
      <c r="BL77" s="15" t="n">
        <v>0.08636282000000001</v>
      </c>
      <c r="BM77" s="15" t="n">
        <v>0.08572952</v>
      </c>
      <c r="BN77" s="15" t="n">
        <v>0.08510087</v>
      </c>
      <c r="BO77" s="15" t="n">
        <v>0.08447681999999999</v>
      </c>
      <c r="BP77" s="15" t="n">
        <v>0.08385736000000001</v>
      </c>
      <c r="BQ77" s="15" t="n">
        <v>0.08324243000000001</v>
      </c>
      <c r="BR77" s="15" t="n">
        <v>0.08263201000000001</v>
      </c>
      <c r="BS77" s="15" t="n">
        <v>0.08202607000000001</v>
      </c>
      <c r="BT77" s="15" t="n">
        <v>0.08142458</v>
      </c>
      <c r="BU77" s="15" t="n">
        <v>0.08082749</v>
      </c>
      <c r="BV77" s="15" t="n">
        <v>0.08023478000000001</v>
      </c>
      <c r="BW77" s="15" t="n">
        <v>0.07964642</v>
      </c>
      <c r="BX77" s="15" t="n">
        <v>0.07906237000000001</v>
      </c>
    </row>
    <row r="78">
      <c r="A78" t="n">
        <v>95</v>
      </c>
      <c r="B78" s="15" t="n">
        <v>0.15294288</v>
      </c>
      <c r="C78" s="15" t="n">
        <v>0.15178113</v>
      </c>
      <c r="D78" s="15" t="n">
        <v>0.15065263</v>
      </c>
      <c r="E78" s="15" t="n">
        <v>0.14955558</v>
      </c>
      <c r="F78" s="15" t="n">
        <v>0.14848805</v>
      </c>
      <c r="G78" s="15" t="n">
        <v>0.14744745</v>
      </c>
      <c r="H78" s="15" t="n">
        <v>0.14643109</v>
      </c>
      <c r="I78" s="15" t="n">
        <v>0.14543551</v>
      </c>
      <c r="J78" s="15" t="n">
        <v>0.14445702</v>
      </c>
      <c r="K78" s="15" t="n">
        <v>0.14349176</v>
      </c>
      <c r="L78" s="15" t="n">
        <v>0.1425351</v>
      </c>
      <c r="M78" s="15" t="n">
        <v>0.14158482</v>
      </c>
      <c r="N78" s="15" t="n">
        <v>0.14064087</v>
      </c>
      <c r="O78" s="15" t="n">
        <v>0.13970322</v>
      </c>
      <c r="P78" s="15" t="n">
        <v>0.13877182</v>
      </c>
      <c r="Q78" s="15" t="n">
        <v>0.13784663</v>
      </c>
      <c r="R78" s="15" t="n">
        <v>0.1369276</v>
      </c>
      <c r="S78" s="15" t="n">
        <v>0.13601471</v>
      </c>
      <c r="T78" s="15" t="n">
        <v>0.1351079</v>
      </c>
      <c r="U78" s="15" t="n">
        <v>0.13420713</v>
      </c>
      <c r="V78" s="15" t="n">
        <v>0.13331237</v>
      </c>
      <c r="W78" s="15" t="n">
        <v>0.13242358</v>
      </c>
      <c r="X78" s="15" t="n">
        <v>0.13154071</v>
      </c>
      <c r="Y78" s="15" t="n">
        <v>0.13066373</v>
      </c>
      <c r="Z78" s="15" t="n">
        <v>0.12979259</v>
      </c>
      <c r="AA78" s="15" t="n">
        <v>0.12892727</v>
      </c>
      <c r="AB78" s="15" t="n">
        <v>0.12806771</v>
      </c>
      <c r="AC78" s="15" t="n">
        <v>0.12721388</v>
      </c>
      <c r="AD78" s="15" t="n">
        <v>0.12636575</v>
      </c>
      <c r="AE78" s="15" t="n">
        <v>0.12552327</v>
      </c>
      <c r="AF78" s="15" t="n">
        <v>0.1246864</v>
      </c>
      <c r="AG78" s="15" t="n">
        <v>0.12385512</v>
      </c>
      <c r="AH78" s="15" t="n">
        <v>0.12302938</v>
      </c>
      <c r="AI78" s="15" t="n">
        <v>0.12220914</v>
      </c>
      <c r="AJ78" s="15" t="n">
        <v>0.12139437</v>
      </c>
      <c r="AK78" s="15" t="n">
        <v>0.12058503</v>
      </c>
      <c r="AL78" s="15" t="n">
        <v>0.11978109</v>
      </c>
      <c r="AM78" s="15" t="n">
        <v>0.11898251</v>
      </c>
      <c r="AN78" s="15" t="n">
        <v>0.11818926</v>
      </c>
      <c r="AO78" s="15" t="n">
        <v>0.11740129</v>
      </c>
      <c r="AP78" s="15" t="n">
        <v>0.11661857</v>
      </c>
      <c r="AQ78" s="15" t="n">
        <v>0.11584108</v>
      </c>
      <c r="AR78" s="15" t="n">
        <v>0.11506877</v>
      </c>
      <c r="AS78" s="15" t="n">
        <v>0.1143016</v>
      </c>
      <c r="AT78" s="15" t="n">
        <v>0.11353955</v>
      </c>
      <c r="AU78" s="15" t="n">
        <v>0.11278259</v>
      </c>
      <c r="AV78" s="15" t="n">
        <v>0.11203066</v>
      </c>
      <c r="AW78" s="15" t="n">
        <v>0.11128376</v>
      </c>
      <c r="AX78" s="15" t="n">
        <v>0.11054183</v>
      </c>
      <c r="AY78" s="15" t="n">
        <v>0.10980484</v>
      </c>
      <c r="AZ78" s="15" t="n">
        <v>0.10907278</v>
      </c>
      <c r="BA78" s="15" t="n">
        <v>0.10834559</v>
      </c>
      <c r="BB78" s="15" t="n">
        <v>0.10762325</v>
      </c>
      <c r="BC78" s="15" t="n">
        <v>0.10690572</v>
      </c>
      <c r="BD78" s="15" t="n">
        <v>0.10619298</v>
      </c>
      <c r="BE78" s="15" t="n">
        <v>0.10548499</v>
      </c>
      <c r="BF78" s="15" t="n">
        <v>0.10478173</v>
      </c>
      <c r="BG78" s="15" t="n">
        <v>0.10408315</v>
      </c>
      <c r="BH78" s="15" t="n">
        <v>0.10338922</v>
      </c>
      <c r="BI78" s="15" t="n">
        <v>0.10269993</v>
      </c>
      <c r="BJ78" s="15" t="n">
        <v>0.10201523</v>
      </c>
      <c r="BK78" s="15" t="n">
        <v>0.10133509</v>
      </c>
      <c r="BL78" s="15" t="n">
        <v>0.10065949</v>
      </c>
      <c r="BM78" s="15" t="n">
        <v>0.09998839</v>
      </c>
      <c r="BN78" s="15" t="n">
        <v>0.09932177</v>
      </c>
      <c r="BO78" s="15" t="n">
        <v>0.09865959000000001</v>
      </c>
      <c r="BP78" s="15" t="n">
        <v>0.09800183</v>
      </c>
      <c r="BQ78" s="15" t="n">
        <v>0.09734845</v>
      </c>
      <c r="BR78" s="15" t="n">
        <v>0.09669943</v>
      </c>
      <c r="BS78" s="15" t="n">
        <v>0.09605473</v>
      </c>
      <c r="BT78" s="15" t="n">
        <v>0.09541434</v>
      </c>
      <c r="BU78" s="15" t="n">
        <v>0.09477821</v>
      </c>
      <c r="BV78" s="15" t="n">
        <v>0.09414632000000001</v>
      </c>
      <c r="BW78" s="15" t="n">
        <v>0.09351864999999999</v>
      </c>
      <c r="BX78" s="15" t="n">
        <v>0.09289516</v>
      </c>
    </row>
    <row r="79">
      <c r="A79" t="n">
        <v>96</v>
      </c>
      <c r="B79" s="15" t="n">
        <v>0.17034451</v>
      </c>
      <c r="C79" s="15" t="n">
        <v>0.16918004</v>
      </c>
      <c r="D79" s="15" t="n">
        <v>0.16804788</v>
      </c>
      <c r="E79" s="15" t="n">
        <v>0.1669465</v>
      </c>
      <c r="F79" s="15" t="n">
        <v>0.16587403</v>
      </c>
      <c r="G79" s="15" t="n">
        <v>0.16482787</v>
      </c>
      <c r="H79" s="15" t="n">
        <v>0.16380527</v>
      </c>
      <c r="I79" s="15" t="n">
        <v>0.16280295</v>
      </c>
      <c r="J79" s="15" t="n">
        <v>0.16181718</v>
      </c>
      <c r="K79" s="15" t="n">
        <v>0.16084401</v>
      </c>
      <c r="L79" s="15" t="n">
        <v>0.15987895</v>
      </c>
      <c r="M79" s="15" t="n">
        <v>0.15891967</v>
      </c>
      <c r="N79" s="15" t="n">
        <v>0.15796615</v>
      </c>
      <c r="O79" s="15" t="n">
        <v>0.15701836</v>
      </c>
      <c r="P79" s="15" t="n">
        <v>0.15607625</v>
      </c>
      <c r="Q79" s="15" t="n">
        <v>0.15513979</v>
      </c>
      <c r="R79" s="15" t="n">
        <v>0.15420895</v>
      </c>
      <c r="S79" s="15" t="n">
        <v>0.1532837</v>
      </c>
      <c r="T79" s="15" t="n">
        <v>0.15236399</v>
      </c>
      <c r="U79" s="15" t="n">
        <v>0.15144981</v>
      </c>
      <c r="V79" s="15" t="n">
        <v>0.15054111</v>
      </c>
      <c r="W79" s="15" t="n">
        <v>0.14963787</v>
      </c>
      <c r="X79" s="15" t="n">
        <v>0.14874004</v>
      </c>
      <c r="Y79" s="15" t="n">
        <v>0.1478476</v>
      </c>
      <c r="Z79" s="15" t="n">
        <v>0.14696051</v>
      </c>
      <c r="AA79" s="15" t="n">
        <v>0.14607875</v>
      </c>
      <c r="AB79" s="15" t="n">
        <v>0.14520228</v>
      </c>
      <c r="AC79" s="15" t="n">
        <v>0.14433106</v>
      </c>
      <c r="AD79" s="15" t="n">
        <v>0.14346508</v>
      </c>
      <c r="AE79" s="15" t="n">
        <v>0.14260429</v>
      </c>
      <c r="AF79" s="15" t="n">
        <v>0.14174866</v>
      </c>
      <c r="AG79" s="15" t="n">
        <v>0.14089817</v>
      </c>
      <c r="AH79" s="15" t="n">
        <v>0.14005278</v>
      </c>
      <c r="AI79" s="15" t="n">
        <v>0.13921246</v>
      </c>
      <c r="AJ79" s="15" t="n">
        <v>0.13837719</v>
      </c>
      <c r="AK79" s="15" t="n">
        <v>0.13754692</v>
      </c>
      <c r="AL79" s="15" t="n">
        <v>0.13672164</v>
      </c>
      <c r="AM79" s="15" t="n">
        <v>0.13590131</v>
      </c>
      <c r="AN79" s="15" t="n">
        <v>0.13508591</v>
      </c>
      <c r="AO79" s="15" t="n">
        <v>0.13427539</v>
      </c>
      <c r="AP79" s="15" t="n">
        <v>0.13346974</v>
      </c>
      <c r="AQ79" s="15" t="n">
        <v>0.13266892</v>
      </c>
      <c r="AR79" s="15" t="n">
        <v>0.13187291</v>
      </c>
      <c r="AS79" s="15" t="n">
        <v>0.13108167</v>
      </c>
      <c r="AT79" s="15" t="n">
        <v>0.13029518</v>
      </c>
      <c r="AU79" s="15" t="n">
        <v>0.12951341</v>
      </c>
      <c r="AV79" s="15" t="n">
        <v>0.12873633</v>
      </c>
      <c r="AW79" s="15" t="n">
        <v>0.12796391</v>
      </c>
      <c r="AX79" s="15" t="n">
        <v>0.12719613</v>
      </c>
      <c r="AY79" s="15" t="n">
        <v>0.12643295</v>
      </c>
      <c r="AZ79" s="15" t="n">
        <v>0.12567435</v>
      </c>
      <c r="BA79" s="15" t="n">
        <v>0.1249203</v>
      </c>
      <c r="BB79" s="15" t="n">
        <v>0.12417078</v>
      </c>
      <c r="BC79" s="15" t="n">
        <v>0.12342576</v>
      </c>
      <c r="BD79" s="15" t="n">
        <v>0.1226852</v>
      </c>
      <c r="BE79" s="15" t="n">
        <v>0.12194909</v>
      </c>
      <c r="BF79" s="15" t="n">
        <v>0.1212174</v>
      </c>
      <c r="BG79" s="15" t="n">
        <v>0.12049009</v>
      </c>
      <c r="BH79" s="15" t="n">
        <v>0.11976715</v>
      </c>
      <c r="BI79" s="15" t="n">
        <v>0.11904855</v>
      </c>
      <c r="BJ79" s="15" t="n">
        <v>0.11833426</v>
      </c>
      <c r="BK79" s="15" t="n">
        <v>0.11762425</v>
      </c>
      <c r="BL79" s="15" t="n">
        <v>0.11691851</v>
      </c>
      <c r="BM79" s="15" t="n">
        <v>0.116217</v>
      </c>
      <c r="BN79" s="15" t="n">
        <v>0.11551969</v>
      </c>
      <c r="BO79" s="15" t="n">
        <v>0.11482658</v>
      </c>
      <c r="BP79" s="15" t="n">
        <v>0.11413762</v>
      </c>
      <c r="BQ79" s="15" t="n">
        <v>0.11345279</v>
      </c>
      <c r="BR79" s="15" t="n">
        <v>0.11277207</v>
      </c>
      <c r="BS79" s="15" t="n">
        <v>0.11209544</v>
      </c>
      <c r="BT79" s="15" t="n">
        <v>0.11142287</v>
      </c>
      <c r="BU79" s="15" t="n">
        <v>0.11075433</v>
      </c>
      <c r="BV79" s="15" t="n">
        <v>0.11008981</v>
      </c>
      <c r="BW79" s="15" t="n">
        <v>0.10942927</v>
      </c>
      <c r="BX79" s="15" t="n">
        <v>0.10877269</v>
      </c>
    </row>
    <row r="80">
      <c r="A80" t="n">
        <v>97</v>
      </c>
      <c r="B80" s="15" t="n">
        <v>0.18901996</v>
      </c>
      <c r="C80" s="15" t="n">
        <v>0.18787128</v>
      </c>
      <c r="D80" s="15" t="n">
        <v>0.18675382</v>
      </c>
      <c r="E80" s="15" t="n">
        <v>0.18566598</v>
      </c>
      <c r="F80" s="15" t="n">
        <v>0.18460583</v>
      </c>
      <c r="G80" s="15" t="n">
        <v>0.18357093</v>
      </c>
      <c r="H80" s="15" t="n">
        <v>0.18255854</v>
      </c>
      <c r="I80" s="15" t="n">
        <v>0.1815656</v>
      </c>
      <c r="J80" s="15" t="n">
        <v>0.18058841</v>
      </c>
      <c r="K80" s="15" t="n">
        <v>0.17962299</v>
      </c>
      <c r="L80" s="15" t="n">
        <v>0.17866506</v>
      </c>
      <c r="M80" s="15" t="n">
        <v>0.17771224</v>
      </c>
      <c r="N80" s="15" t="n">
        <v>0.1767645</v>
      </c>
      <c r="O80" s="15" t="n">
        <v>0.17582181</v>
      </c>
      <c r="P80" s="15" t="n">
        <v>0.17488416</v>
      </c>
      <c r="Q80" s="15" t="n">
        <v>0.1739515</v>
      </c>
      <c r="R80" s="15" t="n">
        <v>0.17302382</v>
      </c>
      <c r="S80" s="15" t="n">
        <v>0.17210108</v>
      </c>
      <c r="T80" s="15" t="n">
        <v>0.17118327</v>
      </c>
      <c r="U80" s="15" t="n">
        <v>0.17027034</v>
      </c>
      <c r="V80" s="15" t="n">
        <v>0.16936229</v>
      </c>
      <c r="W80" s="15" t="n">
        <v>0.16845908</v>
      </c>
      <c r="X80" s="15" t="n">
        <v>0.16756069</v>
      </c>
      <c r="Y80" s="15" t="n">
        <v>0.16666709</v>
      </c>
      <c r="Z80" s="15" t="n">
        <v>0.16577825</v>
      </c>
      <c r="AA80" s="15" t="n">
        <v>0.16489416</v>
      </c>
      <c r="AB80" s="15" t="n">
        <v>0.16401478</v>
      </c>
      <c r="AC80" s="15" t="n">
        <v>0.16314009</v>
      </c>
      <c r="AD80" s="15" t="n">
        <v>0.16227006</v>
      </c>
      <c r="AE80" s="15" t="n">
        <v>0.16140468</v>
      </c>
      <c r="AF80" s="15" t="n">
        <v>0.1605439</v>
      </c>
      <c r="AG80" s="15" t="n">
        <v>0.15968772</v>
      </c>
      <c r="AH80" s="15" t="n">
        <v>0.15883611</v>
      </c>
      <c r="AI80" s="15" t="n">
        <v>0.15798904</v>
      </c>
      <c r="AJ80" s="15" t="n">
        <v>0.15714648</v>
      </c>
      <c r="AK80" s="15" t="n">
        <v>0.15630842</v>
      </c>
      <c r="AL80" s="15" t="n">
        <v>0.15547483</v>
      </c>
      <c r="AM80" s="15" t="n">
        <v>0.15464568</v>
      </c>
      <c r="AN80" s="15" t="n">
        <v>0.15382095</v>
      </c>
      <c r="AO80" s="15" t="n">
        <v>0.15300063</v>
      </c>
      <c r="AP80" s="15" t="n">
        <v>0.15218467</v>
      </c>
      <c r="AQ80" s="15" t="n">
        <v>0.15137307</v>
      </c>
      <c r="AR80" s="15" t="n">
        <v>0.1505658</v>
      </c>
      <c r="AS80" s="15" t="n">
        <v>0.14976283</v>
      </c>
      <c r="AT80" s="15" t="n">
        <v>0.14896415</v>
      </c>
      <c r="AU80" s="15" t="n">
        <v>0.14816972</v>
      </c>
      <c r="AV80" s="15" t="n">
        <v>0.14737953</v>
      </c>
      <c r="AW80" s="15" t="n">
        <v>0.14659356</v>
      </c>
      <c r="AX80" s="15" t="n">
        <v>0.14581177</v>
      </c>
      <c r="AY80" s="15" t="n">
        <v>0.14503416</v>
      </c>
      <c r="AZ80" s="15" t="n">
        <v>0.14426069</v>
      </c>
      <c r="BA80" s="15" t="n">
        <v>0.14349135</v>
      </c>
      <c r="BB80" s="15" t="n">
        <v>0.14272611</v>
      </c>
      <c r="BC80" s="15" t="n">
        <v>0.14196495</v>
      </c>
      <c r="BD80" s="15" t="n">
        <v>0.14120785</v>
      </c>
      <c r="BE80" s="15" t="n">
        <v>0.14045479</v>
      </c>
      <c r="BF80" s="15" t="n">
        <v>0.13970575</v>
      </c>
      <c r="BG80" s="15" t="n">
        <v>0.1389607</v>
      </c>
      <c r="BH80" s="15" t="n">
        <v>0.13821962</v>
      </c>
      <c r="BI80" s="15" t="n">
        <v>0.13748249</v>
      </c>
      <c r="BJ80" s="15" t="n">
        <v>0.1367493</v>
      </c>
      <c r="BK80" s="15" t="n">
        <v>0.13602002</v>
      </c>
      <c r="BL80" s="15" t="n">
        <v>0.13529462</v>
      </c>
      <c r="BM80" s="15" t="n">
        <v>0.13457309</v>
      </c>
      <c r="BN80" s="15" t="n">
        <v>0.13385542</v>
      </c>
      <c r="BO80" s="15" t="n">
        <v>0.13314157</v>
      </c>
      <c r="BP80" s="15" t="n">
        <v>0.13243152</v>
      </c>
      <c r="BQ80" s="15" t="n">
        <v>0.13172526</v>
      </c>
      <c r="BR80" s="15" t="n">
        <v>0.13102277</v>
      </c>
      <c r="BS80" s="15" t="n">
        <v>0.13032403</v>
      </c>
      <c r="BT80" s="15" t="n">
        <v>0.12962901</v>
      </c>
      <c r="BU80" s="15" t="n">
        <v>0.1289377</v>
      </c>
      <c r="BV80" s="15" t="n">
        <v>0.12825007</v>
      </c>
      <c r="BW80" s="15" t="n">
        <v>0.12756612</v>
      </c>
      <c r="BX80" s="15" t="n">
        <v>0.12688581</v>
      </c>
    </row>
    <row r="81">
      <c r="A81" t="n">
        <v>98</v>
      </c>
      <c r="B81" s="15" t="n">
        <v>0.20891111</v>
      </c>
      <c r="C81" s="15" t="n">
        <v>0.20780033</v>
      </c>
      <c r="D81" s="15" t="n">
        <v>0.20671873</v>
      </c>
      <c r="E81" s="15" t="n">
        <v>0.20566509</v>
      </c>
      <c r="F81" s="15" t="n">
        <v>0.20463738</v>
      </c>
      <c r="G81" s="15" t="n">
        <v>0.20363363</v>
      </c>
      <c r="H81" s="15" t="n">
        <v>0.2026511</v>
      </c>
      <c r="I81" s="15" t="n">
        <v>0.20168668</v>
      </c>
      <c r="J81" s="15" t="n">
        <v>0.20073694</v>
      </c>
      <c r="K81" s="15" t="n">
        <v>0.19979789</v>
      </c>
      <c r="L81" s="15" t="n">
        <v>0.19886544</v>
      </c>
      <c r="M81" s="15" t="n">
        <v>0.19793733</v>
      </c>
      <c r="N81" s="15" t="n">
        <v>0.19701356</v>
      </c>
      <c r="O81" s="15" t="n">
        <v>0.1960941</v>
      </c>
      <c r="P81" s="15" t="n">
        <v>0.19517893</v>
      </c>
      <c r="Q81" s="15" t="n">
        <v>0.19426803</v>
      </c>
      <c r="R81" s="15" t="n">
        <v>0.19336138</v>
      </c>
      <c r="S81" s="15" t="n">
        <v>0.19245896</v>
      </c>
      <c r="T81" s="15" t="n">
        <v>0.19156075</v>
      </c>
      <c r="U81" s="15" t="n">
        <v>0.19066674</v>
      </c>
      <c r="V81" s="15" t="n">
        <v>0.1897769</v>
      </c>
      <c r="W81" s="15" t="n">
        <v>0.18889121</v>
      </c>
      <c r="X81" s="15" t="n">
        <v>0.18800965</v>
      </c>
      <c r="Y81" s="15" t="n">
        <v>0.18713221</v>
      </c>
      <c r="Z81" s="15" t="n">
        <v>0.18625887</v>
      </c>
      <c r="AA81" s="15" t="n">
        <v>0.1853896</v>
      </c>
      <c r="AB81" s="15" t="n">
        <v>0.18452438</v>
      </c>
      <c r="AC81" s="15" t="n">
        <v>0.18366321</v>
      </c>
      <c r="AD81" s="15" t="n">
        <v>0.18280605</v>
      </c>
      <c r="AE81" s="15" t="n">
        <v>0.1819529</v>
      </c>
      <c r="AF81" s="15" t="n">
        <v>0.18110372</v>
      </c>
      <c r="AG81" s="15" t="n">
        <v>0.18025851</v>
      </c>
      <c r="AH81" s="15" t="n">
        <v>0.17941724</v>
      </c>
      <c r="AI81" s="15" t="n">
        <v>0.1785799</v>
      </c>
      <c r="AJ81" s="15" t="n">
        <v>0.17774647</v>
      </c>
      <c r="AK81" s="15" t="n">
        <v>0.17691693</v>
      </c>
      <c r="AL81" s="15" t="n">
        <v>0.17609126</v>
      </c>
      <c r="AM81" s="15" t="n">
        <v>0.17526944</v>
      </c>
      <c r="AN81" s="15" t="n">
        <v>0.17445146</v>
      </c>
      <c r="AO81" s="15" t="n">
        <v>0.17363729</v>
      </c>
      <c r="AP81" s="15" t="n">
        <v>0.17282693</v>
      </c>
      <c r="AQ81" s="15" t="n">
        <v>0.17202034</v>
      </c>
      <c r="AR81" s="15" t="n">
        <v>0.17121752</v>
      </c>
      <c r="AS81" s="15" t="n">
        <v>0.17041845</v>
      </c>
      <c r="AT81" s="15" t="n">
        <v>0.16962311</v>
      </c>
      <c r="AU81" s="15" t="n">
        <v>0.16883148</v>
      </c>
      <c r="AV81" s="15" t="n">
        <v>0.16804354</v>
      </c>
      <c r="AW81" s="15" t="n">
        <v>0.16725928</v>
      </c>
      <c r="AX81" s="15" t="n">
        <v>0.16647868</v>
      </c>
      <c r="AY81" s="15" t="n">
        <v>0.16570173</v>
      </c>
      <c r="AZ81" s="15" t="n">
        <v>0.1649284</v>
      </c>
      <c r="BA81" s="15" t="n">
        <v>0.16415868</v>
      </c>
      <c r="BB81" s="15" t="n">
        <v>0.16339255</v>
      </c>
      <c r="BC81" s="15" t="n">
        <v>0.16263</v>
      </c>
      <c r="BD81" s="15" t="n">
        <v>0.161871</v>
      </c>
      <c r="BE81" s="15" t="n">
        <v>0.16111555</v>
      </c>
      <c r="BF81" s="15" t="n">
        <v>0.16036362</v>
      </c>
      <c r="BG81" s="15" t="n">
        <v>0.15961521</v>
      </c>
      <c r="BH81" s="15" t="n">
        <v>0.15887028</v>
      </c>
      <c r="BI81" s="15" t="n">
        <v>0.15812883</v>
      </c>
      <c r="BJ81" s="15" t="n">
        <v>0.15739085</v>
      </c>
      <c r="BK81" s="15" t="n">
        <v>0.1566563</v>
      </c>
      <c r="BL81" s="15" t="n">
        <v>0.15592519</v>
      </c>
      <c r="BM81" s="15" t="n">
        <v>0.15519749</v>
      </c>
      <c r="BN81" s="15" t="n">
        <v>0.15447318</v>
      </c>
      <c r="BO81" s="15" t="n">
        <v>0.15375225</v>
      </c>
      <c r="BP81" s="15" t="n">
        <v>0.15303469</v>
      </c>
      <c r="BQ81" s="15" t="n">
        <v>0.15232048</v>
      </c>
      <c r="BR81" s="15" t="n">
        <v>0.1516096</v>
      </c>
      <c r="BS81" s="15" t="n">
        <v>0.15090204</v>
      </c>
      <c r="BT81" s="15" t="n">
        <v>0.15019778</v>
      </c>
      <c r="BU81" s="15" t="n">
        <v>0.1494968</v>
      </c>
      <c r="BV81" s="15" t="n">
        <v>0.1487991</v>
      </c>
      <c r="BW81" s="15" t="n">
        <v>0.14810466</v>
      </c>
      <c r="BX81" s="15" t="n">
        <v>0.14741345</v>
      </c>
    </row>
    <row r="82">
      <c r="A82" t="n">
        <v>99</v>
      </c>
      <c r="B82" s="15" t="n">
        <v>0.22992981</v>
      </c>
      <c r="C82" s="15" t="n">
        <v>0.22888202</v>
      </c>
      <c r="D82" s="15" t="n">
        <v>0.22786097</v>
      </c>
      <c r="E82" s="15" t="n">
        <v>0.22686545</v>
      </c>
      <c r="F82" s="15" t="n">
        <v>0.22589379</v>
      </c>
      <c r="G82" s="15" t="n">
        <v>0.2249439</v>
      </c>
      <c r="H82" s="15" t="n">
        <v>0.22401353</v>
      </c>
      <c r="I82" s="15" t="n">
        <v>0.22309978</v>
      </c>
      <c r="J82" s="15" t="n">
        <v>0.22219913</v>
      </c>
      <c r="K82" s="15" t="n">
        <v>0.22130833</v>
      </c>
      <c r="L82" s="15" t="n">
        <v>0.2204231</v>
      </c>
      <c r="M82" s="15" t="n">
        <v>0.21954141</v>
      </c>
      <c r="N82" s="15" t="n">
        <v>0.21866324</v>
      </c>
      <c r="O82" s="15" t="n">
        <v>0.21778859</v>
      </c>
      <c r="P82" s="15" t="n">
        <v>0.21691743</v>
      </c>
      <c r="Q82" s="15" t="n">
        <v>0.21604976</v>
      </c>
      <c r="R82" s="15" t="n">
        <v>0.21518557</v>
      </c>
      <c r="S82" s="15" t="n">
        <v>0.21432482</v>
      </c>
      <c r="T82" s="15" t="n">
        <v>0.21346752</v>
      </c>
      <c r="U82" s="15" t="n">
        <v>0.21261365</v>
      </c>
      <c r="V82" s="15" t="n">
        <v>0.2117632</v>
      </c>
      <c r="W82" s="15" t="n">
        <v>0.21091615</v>
      </c>
      <c r="X82" s="15" t="n">
        <v>0.21007248</v>
      </c>
      <c r="Y82" s="15" t="n">
        <v>0.20923219</v>
      </c>
      <c r="Z82" s="15" t="n">
        <v>0.20839526</v>
      </c>
      <c r="AA82" s="15" t="n">
        <v>0.20756168</v>
      </c>
      <c r="AB82" s="15" t="n">
        <v>0.20673144</v>
      </c>
      <c r="AC82" s="15" t="n">
        <v>0.20590451</v>
      </c>
      <c r="AD82" s="15" t="n">
        <v>0.20508089</v>
      </c>
      <c r="AE82" s="15" t="n">
        <v>0.20426057</v>
      </c>
      <c r="AF82" s="15" t="n">
        <v>0.20344353</v>
      </c>
      <c r="AG82" s="15" t="n">
        <v>0.20262975</v>
      </c>
      <c r="AH82" s="15" t="n">
        <v>0.20181923</v>
      </c>
      <c r="AI82" s="15" t="n">
        <v>0.20101196</v>
      </c>
      <c r="AJ82" s="15" t="n">
        <v>0.20020791</v>
      </c>
      <c r="AK82" s="15" t="n">
        <v>0.19940708</v>
      </c>
      <c r="AL82" s="15" t="n">
        <v>0.19860945</v>
      </c>
      <c r="AM82" s="15" t="n">
        <v>0.19781501</v>
      </c>
      <c r="AN82" s="15" t="n">
        <v>0.19702375</v>
      </c>
      <c r="AO82" s="15" t="n">
        <v>0.19623566</v>
      </c>
      <c r="AP82" s="15" t="n">
        <v>0.19545071</v>
      </c>
      <c r="AQ82" s="15" t="n">
        <v>0.19466891</v>
      </c>
      <c r="AR82" s="15" t="n">
        <v>0.19389023</v>
      </c>
      <c r="AS82" s="15" t="n">
        <v>0.19311467</v>
      </c>
      <c r="AT82" s="15" t="n">
        <v>0.19234221</v>
      </c>
      <c r="AU82" s="15" t="n">
        <v>0.19157285</v>
      </c>
      <c r="AV82" s="15" t="n">
        <v>0.19080655</v>
      </c>
      <c r="AW82" s="15" t="n">
        <v>0.19004333</v>
      </c>
      <c r="AX82" s="15" t="n">
        <v>0.18928315</v>
      </c>
      <c r="AY82" s="15" t="n">
        <v>0.18852602</v>
      </c>
      <c r="AZ82" s="15" t="n">
        <v>0.18777192</v>
      </c>
      <c r="BA82" s="15" t="n">
        <v>0.18702083</v>
      </c>
      <c r="BB82" s="15" t="n">
        <v>0.18627275</v>
      </c>
      <c r="BC82" s="15" t="n">
        <v>0.18552766</v>
      </c>
      <c r="BD82" s="15" t="n">
        <v>0.18478555</v>
      </c>
      <c r="BE82" s="15" t="n">
        <v>0.1840464</v>
      </c>
      <c r="BF82" s="15" t="n">
        <v>0.18331022</v>
      </c>
      <c r="BG82" s="15" t="n">
        <v>0.18257698</v>
      </c>
      <c r="BH82" s="15" t="n">
        <v>0.18184667</v>
      </c>
      <c r="BI82" s="15" t="n">
        <v>0.18111928</v>
      </c>
      <c r="BJ82" s="15" t="n">
        <v>0.1803948</v>
      </c>
      <c r="BK82" s="15" t="n">
        <v>0.17967323</v>
      </c>
      <c r="BL82" s="15" t="n">
        <v>0.17895453</v>
      </c>
      <c r="BM82" s="15" t="n">
        <v>0.17823871</v>
      </c>
      <c r="BN82" s="15" t="n">
        <v>0.17752576</v>
      </c>
      <c r="BO82" s="15" t="n">
        <v>0.17681566</v>
      </c>
      <c r="BP82" s="15" t="n">
        <v>0.17610839</v>
      </c>
      <c r="BQ82" s="15" t="n">
        <v>0.17540396</v>
      </c>
      <c r="BR82" s="15" t="n">
        <v>0.17470234</v>
      </c>
      <c r="BS82" s="15" t="n">
        <v>0.17400354</v>
      </c>
      <c r="BT82" s="15" t="n">
        <v>0.17330752</v>
      </c>
      <c r="BU82" s="15" t="n">
        <v>0.17261429</v>
      </c>
      <c r="BV82" s="15" t="n">
        <v>0.17192383</v>
      </c>
      <c r="BW82" s="15" t="n">
        <v>0.17123614</v>
      </c>
      <c r="BX82" s="15" t="n">
        <v>0.17055119</v>
      </c>
    </row>
    <row r="83">
      <c r="A83" t="n">
        <v>100</v>
      </c>
      <c r="B83" s="15" t="n">
        <v>0.25195639</v>
      </c>
      <c r="C83" s="15" t="n">
        <v>0.25099946</v>
      </c>
      <c r="D83" s="15" t="n">
        <v>0.25006624</v>
      </c>
      <c r="E83" s="15" t="n">
        <v>0.24915575</v>
      </c>
      <c r="F83" s="15" t="n">
        <v>0.24826652</v>
      </c>
      <c r="G83" s="15" t="n">
        <v>0.24739659</v>
      </c>
      <c r="H83" s="15" t="n">
        <v>0.24654381</v>
      </c>
      <c r="I83" s="15" t="n">
        <v>0.24570557</v>
      </c>
      <c r="J83" s="15" t="n">
        <v>0.24487901</v>
      </c>
      <c r="K83" s="15" t="n">
        <v>0.24406087</v>
      </c>
      <c r="L83" s="15" t="n">
        <v>0.24324742</v>
      </c>
      <c r="M83" s="15" t="n">
        <v>0.24243667</v>
      </c>
      <c r="N83" s="15" t="n">
        <v>0.24162863</v>
      </c>
      <c r="O83" s="15" t="n">
        <v>0.24082328</v>
      </c>
      <c r="P83" s="15" t="n">
        <v>0.24002062</v>
      </c>
      <c r="Q83" s="15" t="n">
        <v>0.23922063</v>
      </c>
      <c r="R83" s="15" t="n">
        <v>0.23842331</v>
      </c>
      <c r="S83" s="15" t="n">
        <v>0.23762864</v>
      </c>
      <c r="T83" s="15" t="n">
        <v>0.23683663</v>
      </c>
      <c r="U83" s="15" t="n">
        <v>0.23604725</v>
      </c>
      <c r="V83" s="15" t="n">
        <v>0.2352605</v>
      </c>
      <c r="W83" s="15" t="n">
        <v>0.23447638</v>
      </c>
      <c r="X83" s="15" t="n">
        <v>0.23369487</v>
      </c>
      <c r="Y83" s="15" t="n">
        <v>0.23291597</v>
      </c>
      <c r="Z83" s="15" t="n">
        <v>0.23213966</v>
      </c>
      <c r="AA83" s="15" t="n">
        <v>0.23136594</v>
      </c>
      <c r="AB83" s="15" t="n">
        <v>0.23059479</v>
      </c>
      <c r="AC83" s="15" t="n">
        <v>0.22982622</v>
      </c>
      <c r="AD83" s="15" t="n">
        <v>0.22906021</v>
      </c>
      <c r="AE83" s="15" t="n">
        <v>0.22829675</v>
      </c>
      <c r="AF83" s="15" t="n">
        <v>0.22753584</v>
      </c>
      <c r="AG83" s="15" t="n">
        <v>0.22677746</v>
      </c>
      <c r="AH83" s="15" t="n">
        <v>0.22602161</v>
      </c>
      <c r="AI83" s="15" t="n">
        <v>0.22526828</v>
      </c>
      <c r="AJ83" s="15" t="n">
        <v>0.22451746</v>
      </c>
      <c r="AK83" s="15" t="n">
        <v>0.22376915</v>
      </c>
      <c r="AL83" s="15" t="n">
        <v>0.22302332</v>
      </c>
      <c r="AM83" s="15" t="n">
        <v>0.22227999</v>
      </c>
      <c r="AN83" s="15" t="n">
        <v>0.22153913</v>
      </c>
      <c r="AO83" s="15" t="n">
        <v>0.22080074</v>
      </c>
      <c r="AP83" s="15" t="n">
        <v>0.22006481</v>
      </c>
      <c r="AQ83" s="15" t="n">
        <v>0.21933133</v>
      </c>
      <c r="AR83" s="15" t="n">
        <v>0.2186003</v>
      </c>
      <c r="AS83" s="15" t="n">
        <v>0.21787171</v>
      </c>
      <c r="AT83" s="15" t="n">
        <v>0.21714554</v>
      </c>
      <c r="AU83" s="15" t="n">
        <v>0.2164218</v>
      </c>
      <c r="AV83" s="15" t="n">
        <v>0.21570046</v>
      </c>
      <c r="AW83" s="15" t="n">
        <v>0.21498153</v>
      </c>
      <c r="AX83" s="15" t="n">
        <v>0.214265</v>
      </c>
      <c r="AY83" s="15" t="n">
        <v>0.21355085</v>
      </c>
      <c r="AZ83" s="15" t="n">
        <v>0.21283909</v>
      </c>
      <c r="BA83" s="15" t="n">
        <v>0.2121297</v>
      </c>
      <c r="BB83" s="15" t="n">
        <v>0.21142267</v>
      </c>
      <c r="BC83" s="15" t="n">
        <v>0.210718</v>
      </c>
      <c r="BD83" s="15" t="n">
        <v>0.21001567</v>
      </c>
      <c r="BE83" s="15" t="n">
        <v>0.20931569</v>
      </c>
      <c r="BF83" s="15" t="n">
        <v>0.20861804</v>
      </c>
      <c r="BG83" s="15" t="n">
        <v>0.20792272</v>
      </c>
      <c r="BH83" s="15" t="n">
        <v>0.20722971</v>
      </c>
      <c r="BI83" s="15" t="n">
        <v>0.20653901</v>
      </c>
      <c r="BJ83" s="15" t="n">
        <v>0.20585062</v>
      </c>
      <c r="BK83" s="15" t="n">
        <v>0.20516452</v>
      </c>
      <c r="BL83" s="15" t="n">
        <v>0.20448071</v>
      </c>
      <c r="BM83" s="15" t="n">
        <v>0.20379917</v>
      </c>
      <c r="BN83" s="15" t="n">
        <v>0.20311991</v>
      </c>
      <c r="BO83" s="15" t="n">
        <v>0.20244291</v>
      </c>
      <c r="BP83" s="15" t="n">
        <v>0.20176817</v>
      </c>
      <c r="BQ83" s="15" t="n">
        <v>0.20109568</v>
      </c>
      <c r="BR83" s="15" t="n">
        <v>0.20042542</v>
      </c>
      <c r="BS83" s="15" t="n">
        <v>0.19975741</v>
      </c>
      <c r="BT83" s="15" t="n">
        <v>0.19909161</v>
      </c>
      <c r="BU83" s="15" t="n">
        <v>0.19842804</v>
      </c>
      <c r="BV83" s="15" t="n">
        <v>0.19776668</v>
      </c>
      <c r="BW83" s="15" t="n">
        <v>0.19710752</v>
      </c>
      <c r="BX83" s="15" t="n">
        <v>0.19645057</v>
      </c>
    </row>
    <row r="84">
      <c r="A84" t="n">
        <v>101</v>
      </c>
      <c r="B84" s="15" t="n">
        <v>0.27484203</v>
      </c>
      <c r="C84" s="15" t="n">
        <v>0.27400706</v>
      </c>
      <c r="D84" s="15" t="n">
        <v>0.27319216</v>
      </c>
      <c r="E84" s="15" t="n">
        <v>0.27239635</v>
      </c>
      <c r="F84" s="15" t="n">
        <v>0.27161866</v>
      </c>
      <c r="G84" s="15" t="n">
        <v>0.27085732</v>
      </c>
      <c r="H84" s="15" t="n">
        <v>0.27011056</v>
      </c>
      <c r="I84" s="15" t="n">
        <v>0.26937586</v>
      </c>
      <c r="J84" s="15" t="n">
        <v>0.26865097</v>
      </c>
      <c r="K84" s="15" t="n">
        <v>0.26793287</v>
      </c>
      <c r="L84" s="15" t="n">
        <v>0.26721829</v>
      </c>
      <c r="M84" s="15" t="n">
        <v>0.26650562</v>
      </c>
      <c r="N84" s="15" t="n">
        <v>0.26579485</v>
      </c>
      <c r="O84" s="15" t="n">
        <v>0.26508597</v>
      </c>
      <c r="P84" s="15" t="n">
        <v>0.26437899</v>
      </c>
      <c r="Q84" s="15" t="n">
        <v>0.26367389</v>
      </c>
      <c r="R84" s="15" t="n">
        <v>0.26297067</v>
      </c>
      <c r="S84" s="15" t="n">
        <v>0.26226933</v>
      </c>
      <c r="T84" s="15" t="n">
        <v>0.26156986</v>
      </c>
      <c r="U84" s="15" t="n">
        <v>0.26087225</v>
      </c>
      <c r="V84" s="15" t="n">
        <v>0.2601765</v>
      </c>
      <c r="W84" s="15" t="n">
        <v>0.25948261</v>
      </c>
      <c r="X84" s="15" t="n">
        <v>0.25879057</v>
      </c>
      <c r="Y84" s="15" t="n">
        <v>0.25810038</v>
      </c>
      <c r="Z84" s="15" t="n">
        <v>0.25741202</v>
      </c>
      <c r="AA84" s="15" t="n">
        <v>0.25672551</v>
      </c>
      <c r="AB84" s="15" t="n">
        <v>0.25604082</v>
      </c>
      <c r="AC84" s="15" t="n">
        <v>0.25535796</v>
      </c>
      <c r="AD84" s="15" t="n">
        <v>0.25467692</v>
      </c>
      <c r="AE84" s="15" t="n">
        <v>0.2539977</v>
      </c>
      <c r="AF84" s="15" t="n">
        <v>0.25332028</v>
      </c>
      <c r="AG84" s="15" t="n">
        <v>0.25264468</v>
      </c>
      <c r="AH84" s="15" t="n">
        <v>0.25197088</v>
      </c>
      <c r="AI84" s="15" t="n">
        <v>0.25129887</v>
      </c>
      <c r="AJ84" s="15" t="n">
        <v>0.25062865</v>
      </c>
      <c r="AK84" s="15" t="n">
        <v>0.24996023</v>
      </c>
      <c r="AL84" s="15" t="n">
        <v>0.24929358</v>
      </c>
      <c r="AM84" s="15" t="n">
        <v>0.24862872</v>
      </c>
      <c r="AN84" s="15" t="n">
        <v>0.24796563</v>
      </c>
      <c r="AO84" s="15" t="n">
        <v>0.2473043</v>
      </c>
      <c r="AP84" s="15" t="n">
        <v>0.24664474</v>
      </c>
      <c r="AQ84" s="15" t="n">
        <v>0.24598694</v>
      </c>
      <c r="AR84" s="15" t="n">
        <v>0.24533089</v>
      </c>
      <c r="AS84" s="15" t="n">
        <v>0.24467659</v>
      </c>
      <c r="AT84" s="15" t="n">
        <v>0.24402404</v>
      </c>
      <c r="AU84" s="15" t="n">
        <v>0.24337323</v>
      </c>
      <c r="AV84" s="15" t="n">
        <v>0.24272415</v>
      </c>
      <c r="AW84" s="15" t="n">
        <v>0.24207681</v>
      </c>
      <c r="AX84" s="15" t="n">
        <v>0.24143119</v>
      </c>
      <c r="AY84" s="15" t="n">
        <v>0.24078729</v>
      </c>
      <c r="AZ84" s="15" t="n">
        <v>0.24014511</v>
      </c>
      <c r="BA84" s="15" t="n">
        <v>0.23950465</v>
      </c>
      <c r="BB84" s="15" t="n">
        <v>0.23886589</v>
      </c>
      <c r="BC84" s="15" t="n">
        <v>0.23822883</v>
      </c>
      <c r="BD84" s="15" t="n">
        <v>0.23759347</v>
      </c>
      <c r="BE84" s="15" t="n">
        <v>0.23695981</v>
      </c>
      <c r="BF84" s="15" t="n">
        <v>0.23632784</v>
      </c>
      <c r="BG84" s="15" t="n">
        <v>0.23569756</v>
      </c>
      <c r="BH84" s="15" t="n">
        <v>0.23506895</v>
      </c>
      <c r="BI84" s="15" t="n">
        <v>0.23444202</v>
      </c>
      <c r="BJ84" s="15" t="n">
        <v>0.23381676</v>
      </c>
      <c r="BK84" s="15" t="n">
        <v>0.23319317</v>
      </c>
      <c r="BL84" s="15" t="n">
        <v>0.23257125</v>
      </c>
      <c r="BM84" s="15" t="n">
        <v>0.23195098</v>
      </c>
      <c r="BN84" s="15" t="n">
        <v>0.23133237</v>
      </c>
      <c r="BO84" s="15" t="n">
        <v>0.2307154</v>
      </c>
      <c r="BP84" s="15" t="n">
        <v>0.23010009</v>
      </c>
      <c r="BQ84" s="15" t="n">
        <v>0.22948641</v>
      </c>
      <c r="BR84" s="15" t="n">
        <v>0.22887437</v>
      </c>
      <c r="BS84" s="15" t="n">
        <v>0.22826396</v>
      </c>
      <c r="BT84" s="15" t="n">
        <v>0.22765518</v>
      </c>
      <c r="BU84" s="15" t="n">
        <v>0.22704802</v>
      </c>
      <c r="BV84" s="15" t="n">
        <v>0.22644249</v>
      </c>
      <c r="BW84" s="15" t="n">
        <v>0.22583857</v>
      </c>
      <c r="BX84" s="15" t="n">
        <v>0.22523625</v>
      </c>
    </row>
    <row r="85">
      <c r="A85" t="n">
        <v>102</v>
      </c>
      <c r="B85" s="15" t="n">
        <v>0.2984148</v>
      </c>
      <c r="C85" s="15" t="n">
        <v>0.29773472</v>
      </c>
      <c r="D85" s="15" t="n">
        <v>0.29707047</v>
      </c>
      <c r="E85" s="15" t="n">
        <v>0.29642137</v>
      </c>
      <c r="F85" s="15" t="n">
        <v>0.29578673</v>
      </c>
      <c r="G85" s="15" t="n">
        <v>0.29516499</v>
      </c>
      <c r="H85" s="15" t="n">
        <v>0.29455459</v>
      </c>
      <c r="I85" s="15" t="n">
        <v>0.2939537</v>
      </c>
      <c r="J85" s="15" t="n">
        <v>0.2933605</v>
      </c>
      <c r="K85" s="15" t="n">
        <v>0.29277231</v>
      </c>
      <c r="L85" s="15" t="n">
        <v>0.29218677</v>
      </c>
      <c r="M85" s="15" t="n">
        <v>0.29160239</v>
      </c>
      <c r="N85" s="15" t="n">
        <v>0.29101919</v>
      </c>
      <c r="O85" s="15" t="n">
        <v>0.29043715</v>
      </c>
      <c r="P85" s="15" t="n">
        <v>0.28985628</v>
      </c>
      <c r="Q85" s="15" t="n">
        <v>0.28927656</v>
      </c>
      <c r="R85" s="15" t="n">
        <v>0.28869801</v>
      </c>
      <c r="S85" s="15" t="n">
        <v>0.28812061</v>
      </c>
      <c r="T85" s="15" t="n">
        <v>0.28754437</v>
      </c>
      <c r="U85" s="15" t="n">
        <v>0.28696928</v>
      </c>
      <c r="V85" s="15" t="n">
        <v>0.28639534</v>
      </c>
      <c r="W85" s="15" t="n">
        <v>0.28582255</v>
      </c>
      <c r="X85" s="15" t="n">
        <v>0.28525091</v>
      </c>
      <c r="Y85" s="15" t="n">
        <v>0.28468041</v>
      </c>
      <c r="Z85" s="15" t="n">
        <v>0.28411105</v>
      </c>
      <c r="AA85" s="15" t="n">
        <v>0.28354282</v>
      </c>
      <c r="AB85" s="15" t="n">
        <v>0.28297574</v>
      </c>
      <c r="AC85" s="15" t="n">
        <v>0.28240979</v>
      </c>
      <c r="AD85" s="15" t="n">
        <v>0.28184497</v>
      </c>
      <c r="AE85" s="15" t="n">
        <v>0.28128128</v>
      </c>
      <c r="AF85" s="15" t="n">
        <v>0.28071872</v>
      </c>
      <c r="AG85" s="15" t="n">
        <v>0.28015728</v>
      </c>
      <c r="AH85" s="15" t="n">
        <v>0.27959696</v>
      </c>
      <c r="AI85" s="15" t="n">
        <v>0.27903777</v>
      </c>
      <c r="AJ85" s="15" t="n">
        <v>0.27847969</v>
      </c>
      <c r="AK85" s="15" t="n">
        <v>0.27792273</v>
      </c>
      <c r="AL85" s="15" t="n">
        <v>0.27736689</v>
      </c>
      <c r="AM85" s="15" t="n">
        <v>0.27681216</v>
      </c>
      <c r="AN85" s="15" t="n">
        <v>0.27625853</v>
      </c>
      <c r="AO85" s="15" t="n">
        <v>0.27570601</v>
      </c>
      <c r="AP85" s="15" t="n">
        <v>0.2751546</v>
      </c>
      <c r="AQ85" s="15" t="n">
        <v>0.27460429</v>
      </c>
      <c r="AR85" s="15" t="n">
        <v>0.27405508</v>
      </c>
      <c r="AS85" s="15" t="n">
        <v>0.27350697</v>
      </c>
      <c r="AT85" s="15" t="n">
        <v>0.27295996</v>
      </c>
      <c r="AU85" s="15" t="n">
        <v>0.27241404</v>
      </c>
      <c r="AV85" s="15" t="n">
        <v>0.27186921</v>
      </c>
      <c r="AW85" s="15" t="n">
        <v>0.27132547</v>
      </c>
      <c r="AX85" s="15" t="n">
        <v>0.27078282</v>
      </c>
      <c r="AY85" s="15" t="n">
        <v>0.27024126</v>
      </c>
      <c r="AZ85" s="15" t="n">
        <v>0.26970077</v>
      </c>
      <c r="BA85" s="15" t="n">
        <v>0.26916137</v>
      </c>
      <c r="BB85" s="15" t="n">
        <v>0.26862305</v>
      </c>
      <c r="BC85" s="15" t="n">
        <v>0.2680858</v>
      </c>
      <c r="BD85" s="15" t="n">
        <v>0.26754963</v>
      </c>
      <c r="BE85" s="15" t="n">
        <v>0.26701453</v>
      </c>
      <c r="BF85" s="15" t="n">
        <v>0.2664805</v>
      </c>
      <c r="BG85" s="15" t="n">
        <v>0.26594754</v>
      </c>
      <c r="BH85" s="15" t="n">
        <v>0.26541565</v>
      </c>
      <c r="BI85" s="15" t="n">
        <v>0.26488482</v>
      </c>
      <c r="BJ85" s="15" t="n">
        <v>0.26435505</v>
      </c>
      <c r="BK85" s="15" t="n">
        <v>0.26382634</v>
      </c>
      <c r="BL85" s="15" t="n">
        <v>0.26329868</v>
      </c>
      <c r="BM85" s="15" t="n">
        <v>0.26277209</v>
      </c>
      <c r="BN85" s="15" t="n">
        <v>0.26224654</v>
      </c>
      <c r="BO85" s="15" t="n">
        <v>0.26172205</v>
      </c>
      <c r="BP85" s="15" t="n">
        <v>0.26119861</v>
      </c>
      <c r="BQ85" s="15" t="n">
        <v>0.26067621</v>
      </c>
      <c r="BR85" s="15" t="n">
        <v>0.26015486</v>
      </c>
      <c r="BS85" s="15" t="n">
        <v>0.25963455</v>
      </c>
      <c r="BT85" s="15" t="n">
        <v>0.25911528</v>
      </c>
      <c r="BU85" s="15" t="n">
        <v>0.25859705</v>
      </c>
      <c r="BV85" s="15" t="n">
        <v>0.25807985</v>
      </c>
      <c r="BW85" s="15" t="n">
        <v>0.25756369</v>
      </c>
      <c r="BX85" s="15" t="n">
        <v>0.25704857</v>
      </c>
    </row>
    <row r="86">
      <c r="A86" t="n">
        <v>103</v>
      </c>
      <c r="B86" s="15" t="n">
        <v>0.32248049</v>
      </c>
      <c r="C86" s="15" t="n">
        <v>0.32199065</v>
      </c>
      <c r="D86" s="15" t="n">
        <v>0.32151185</v>
      </c>
      <c r="E86" s="15" t="n">
        <v>0.32104373</v>
      </c>
      <c r="F86" s="15" t="n">
        <v>0.32058527</v>
      </c>
      <c r="G86" s="15" t="n">
        <v>0.32013581</v>
      </c>
      <c r="H86" s="15" t="n">
        <v>0.31969435</v>
      </c>
      <c r="I86" s="15" t="n">
        <v>0.31925956</v>
      </c>
      <c r="J86" s="15" t="n">
        <v>0.31882984</v>
      </c>
      <c r="K86" s="15" t="n">
        <v>0.31840388</v>
      </c>
      <c r="L86" s="15" t="n">
        <v>0.31797945</v>
      </c>
      <c r="M86" s="15" t="n">
        <v>0.31755558</v>
      </c>
      <c r="N86" s="15" t="n">
        <v>0.31713228</v>
      </c>
      <c r="O86" s="15" t="n">
        <v>0.31670954</v>
      </c>
      <c r="P86" s="15" t="n">
        <v>0.31628737</v>
      </c>
      <c r="Q86" s="15" t="n">
        <v>0.31586576</v>
      </c>
      <c r="R86" s="15" t="n">
        <v>0.31544471</v>
      </c>
      <c r="S86" s="15" t="n">
        <v>0.31502422</v>
      </c>
      <c r="T86" s="15" t="n">
        <v>0.3146043</v>
      </c>
      <c r="U86" s="15" t="n">
        <v>0.31418493</v>
      </c>
      <c r="V86" s="15" t="n">
        <v>0.31376612</v>
      </c>
      <c r="W86" s="15" t="n">
        <v>0.31334787</v>
      </c>
      <c r="X86" s="15" t="n">
        <v>0.31293018</v>
      </c>
      <c r="Y86" s="15" t="n">
        <v>0.31251304</v>
      </c>
      <c r="Z86" s="15" t="n">
        <v>0.31209646</v>
      </c>
      <c r="AA86" s="15" t="n">
        <v>0.31168044</v>
      </c>
      <c r="AB86" s="15" t="n">
        <v>0.31126497</v>
      </c>
      <c r="AC86" s="15" t="n">
        <v>0.31085005</v>
      </c>
      <c r="AD86" s="15" t="n">
        <v>0.31043569</v>
      </c>
      <c r="AE86" s="15" t="n">
        <v>0.31002188</v>
      </c>
      <c r="AF86" s="15" t="n">
        <v>0.30960862</v>
      </c>
      <c r="AG86" s="15" t="n">
        <v>0.30919591</v>
      </c>
      <c r="AH86" s="15" t="n">
        <v>0.30878375</v>
      </c>
      <c r="AI86" s="15" t="n">
        <v>0.30837214</v>
      </c>
      <c r="AJ86" s="15" t="n">
        <v>0.30796108</v>
      </c>
      <c r="AK86" s="15" t="n">
        <v>0.30755057</v>
      </c>
      <c r="AL86" s="15" t="n">
        <v>0.3071406</v>
      </c>
      <c r="AM86" s="15" t="n">
        <v>0.30673119</v>
      </c>
      <c r="AN86" s="15" t="n">
        <v>0.30632231</v>
      </c>
      <c r="AO86" s="15" t="n">
        <v>0.30591399</v>
      </c>
      <c r="AP86" s="15" t="n">
        <v>0.3055062</v>
      </c>
      <c r="AQ86" s="15" t="n">
        <v>0.30509896</v>
      </c>
      <c r="AR86" s="15" t="n">
        <v>0.30469227</v>
      </c>
      <c r="AS86" s="15" t="n">
        <v>0.30428611</v>
      </c>
      <c r="AT86" s="15" t="n">
        <v>0.3038805</v>
      </c>
      <c r="AU86" s="15" t="n">
        <v>0.30347543</v>
      </c>
      <c r="AV86" s="15" t="n">
        <v>0.30307089</v>
      </c>
      <c r="AW86" s="15" t="n">
        <v>0.3026669</v>
      </c>
      <c r="AX86" s="15" t="n">
        <v>0.30226344</v>
      </c>
      <c r="AY86" s="15" t="n">
        <v>0.30186053</v>
      </c>
      <c r="AZ86" s="15" t="n">
        <v>0.30145815</v>
      </c>
      <c r="BA86" s="15" t="n">
        <v>0.3010563</v>
      </c>
      <c r="BB86" s="15" t="n">
        <v>0.30065499</v>
      </c>
      <c r="BC86" s="15" t="n">
        <v>0.30025422</v>
      </c>
      <c r="BD86" s="15" t="n">
        <v>0.29985398</v>
      </c>
      <c r="BE86" s="15" t="n">
        <v>0.29945428</v>
      </c>
      <c r="BF86" s="15" t="n">
        <v>0.29905511</v>
      </c>
      <c r="BG86" s="15" t="n">
        <v>0.29865646</v>
      </c>
      <c r="BH86" s="15" t="n">
        <v>0.29825836</v>
      </c>
      <c r="BI86" s="15" t="n">
        <v>0.29786078</v>
      </c>
      <c r="BJ86" s="15" t="n">
        <v>0.29746373</v>
      </c>
      <c r="BK86" s="15" t="n">
        <v>0.29706721</v>
      </c>
      <c r="BL86" s="15" t="n">
        <v>0.29667122</v>
      </c>
      <c r="BM86" s="15" t="n">
        <v>0.29627576</v>
      </c>
      <c r="BN86" s="15" t="n">
        <v>0.29588082</v>
      </c>
      <c r="BO86" s="15" t="n">
        <v>0.29548641</v>
      </c>
      <c r="BP86" s="15" t="n">
        <v>0.29509253</v>
      </c>
      <c r="BQ86" s="15" t="n">
        <v>0.29469917</v>
      </c>
      <c r="BR86" s="15" t="n">
        <v>0.29430634</v>
      </c>
      <c r="BS86" s="15" t="n">
        <v>0.29391403</v>
      </c>
      <c r="BT86" s="15" t="n">
        <v>0.29352224</v>
      </c>
      <c r="BU86" s="15" t="n">
        <v>0.29313097</v>
      </c>
      <c r="BV86" s="15" t="n">
        <v>0.29274023</v>
      </c>
      <c r="BW86" s="15" t="n">
        <v>0.29235001</v>
      </c>
      <c r="BX86" s="15" t="n">
        <v>0.2919603</v>
      </c>
    </row>
    <row r="87">
      <c r="A87" t="n">
        <v>104</v>
      </c>
      <c r="B87" s="15" t="n">
        <v>0.34683707</v>
      </c>
      <c r="C87" s="15" t="n">
        <v>0.34657347</v>
      </c>
      <c r="D87" s="15" t="n">
        <v>0.34631562</v>
      </c>
      <c r="E87" s="15" t="n">
        <v>0.3460635</v>
      </c>
      <c r="F87" s="15" t="n">
        <v>0.34581641</v>
      </c>
      <c r="G87" s="15" t="n">
        <v>0.345574</v>
      </c>
      <c r="H87" s="15" t="n">
        <v>0.3453359</v>
      </c>
      <c r="I87" s="15" t="n">
        <v>0.34510107</v>
      </c>
      <c r="J87" s="15" t="n">
        <v>0.34486881</v>
      </c>
      <c r="K87" s="15" t="n">
        <v>0.34463844</v>
      </c>
      <c r="L87" s="15" t="n">
        <v>0.34440857</v>
      </c>
      <c r="M87" s="15" t="n">
        <v>0.34417885</v>
      </c>
      <c r="N87" s="15" t="n">
        <v>0.34394928</v>
      </c>
      <c r="O87" s="15" t="n">
        <v>0.34371987</v>
      </c>
      <c r="P87" s="15" t="n">
        <v>0.34349061</v>
      </c>
      <c r="Q87" s="15" t="n">
        <v>0.3432615</v>
      </c>
      <c r="R87" s="15" t="n">
        <v>0.34303254</v>
      </c>
      <c r="S87" s="15" t="n">
        <v>0.34280374</v>
      </c>
      <c r="T87" s="15" t="n">
        <v>0.34257509</v>
      </c>
      <c r="U87" s="15" t="n">
        <v>0.34234659</v>
      </c>
      <c r="V87" s="15" t="n">
        <v>0.34211825</v>
      </c>
      <c r="W87" s="15" t="n">
        <v>0.34189005</v>
      </c>
      <c r="X87" s="15" t="n">
        <v>0.34166201</v>
      </c>
      <c r="Y87" s="15" t="n">
        <v>0.34143412</v>
      </c>
      <c r="Z87" s="15" t="n">
        <v>0.34120639</v>
      </c>
      <c r="AA87" s="15" t="n">
        <v>0.3409788</v>
      </c>
      <c r="AB87" s="15" t="n">
        <v>0.34075137</v>
      </c>
      <c r="AC87" s="15" t="n">
        <v>0.34052409</v>
      </c>
      <c r="AD87" s="15" t="n">
        <v>0.34029696</v>
      </c>
      <c r="AE87" s="15" t="n">
        <v>0.34006998</v>
      </c>
      <c r="AF87" s="15" t="n">
        <v>0.33984315</v>
      </c>
      <c r="AG87" s="15" t="n">
        <v>0.33961648</v>
      </c>
      <c r="AH87" s="15" t="n">
        <v>0.33938995</v>
      </c>
      <c r="AI87" s="15" t="n">
        <v>0.33916358</v>
      </c>
      <c r="AJ87" s="15" t="n">
        <v>0.33893736</v>
      </c>
      <c r="AK87" s="15" t="n">
        <v>0.33871129</v>
      </c>
      <c r="AL87" s="15" t="n">
        <v>0.33848537</v>
      </c>
      <c r="AM87" s="15" t="n">
        <v>0.3382596</v>
      </c>
      <c r="AN87" s="15" t="n">
        <v>0.33803398</v>
      </c>
      <c r="AO87" s="15" t="n">
        <v>0.33780851</v>
      </c>
      <c r="AP87" s="15" t="n">
        <v>0.33758319</v>
      </c>
      <c r="AQ87" s="15" t="n">
        <v>0.33735802</v>
      </c>
      <c r="AR87" s="15" t="n">
        <v>0.33713301</v>
      </c>
      <c r="AS87" s="15" t="n">
        <v>0.33690814</v>
      </c>
      <c r="AT87" s="15" t="n">
        <v>0.33668342</v>
      </c>
      <c r="AU87" s="15" t="n">
        <v>0.33645885</v>
      </c>
      <c r="AV87" s="15" t="n">
        <v>0.33623443</v>
      </c>
      <c r="AW87" s="15" t="n">
        <v>0.33601017</v>
      </c>
      <c r="AX87" s="15" t="n">
        <v>0.33578605</v>
      </c>
      <c r="AY87" s="15" t="n">
        <v>0.33556208</v>
      </c>
      <c r="AZ87" s="15" t="n">
        <v>0.33533826</v>
      </c>
      <c r="BA87" s="15" t="n">
        <v>0.33511459</v>
      </c>
      <c r="BB87" s="15" t="n">
        <v>0.33489107</v>
      </c>
      <c r="BC87" s="15" t="n">
        <v>0.33466769</v>
      </c>
      <c r="BD87" s="15" t="n">
        <v>0.33444447</v>
      </c>
      <c r="BE87" s="15" t="n">
        <v>0.3342214</v>
      </c>
      <c r="BF87" s="15" t="n">
        <v>0.33399847</v>
      </c>
      <c r="BG87" s="15" t="n">
        <v>0.33377569</v>
      </c>
      <c r="BH87" s="15" t="n">
        <v>0.33355307</v>
      </c>
      <c r="BI87" s="15" t="n">
        <v>0.33333059</v>
      </c>
      <c r="BJ87" s="15" t="n">
        <v>0.33310825</v>
      </c>
      <c r="BK87" s="15" t="n">
        <v>0.33288607</v>
      </c>
      <c r="BL87" s="15" t="n">
        <v>0.33266404</v>
      </c>
      <c r="BM87" s="15" t="n">
        <v>0.33244215</v>
      </c>
      <c r="BN87" s="15" t="n">
        <v>0.33222041</v>
      </c>
      <c r="BO87" s="15" t="n">
        <v>0.33199882</v>
      </c>
      <c r="BP87" s="15" t="n">
        <v>0.33177738</v>
      </c>
      <c r="BQ87" s="15" t="n">
        <v>0.33155608</v>
      </c>
      <c r="BR87" s="15" t="n">
        <v>0.33133493</v>
      </c>
      <c r="BS87" s="15" t="n">
        <v>0.33111393</v>
      </c>
      <c r="BT87" s="15" t="n">
        <v>0.33089308</v>
      </c>
      <c r="BU87" s="15" t="n">
        <v>0.33067237</v>
      </c>
      <c r="BV87" s="15" t="n">
        <v>0.33045181</v>
      </c>
      <c r="BW87" s="15" t="n">
        <v>0.3302314</v>
      </c>
      <c r="BX87" s="15" t="n">
        <v>0.33001114</v>
      </c>
    </row>
    <row r="88">
      <c r="A88" t="n">
        <v>105</v>
      </c>
      <c r="B88" s="15" t="n">
        <v>0.37127256</v>
      </c>
      <c r="C88" s="15" t="n">
        <v>0.37127256</v>
      </c>
      <c r="D88" s="15" t="n">
        <v>0.37127256</v>
      </c>
      <c r="E88" s="15" t="n">
        <v>0.37127256</v>
      </c>
      <c r="F88" s="15" t="n">
        <v>0.37127256</v>
      </c>
      <c r="G88" s="15" t="n">
        <v>0.37127256</v>
      </c>
      <c r="H88" s="15" t="n">
        <v>0.37127256</v>
      </c>
      <c r="I88" s="15" t="n">
        <v>0.37127256</v>
      </c>
      <c r="J88" s="15" t="n">
        <v>0.37127256</v>
      </c>
      <c r="K88" s="15" t="n">
        <v>0.37127256</v>
      </c>
      <c r="L88" s="15" t="n">
        <v>0.37127256</v>
      </c>
      <c r="M88" s="15" t="n">
        <v>0.37127256</v>
      </c>
      <c r="N88" s="15" t="n">
        <v>0.37127256</v>
      </c>
      <c r="O88" s="15" t="n">
        <v>0.37127256</v>
      </c>
      <c r="P88" s="15" t="n">
        <v>0.37127256</v>
      </c>
      <c r="Q88" s="15" t="n">
        <v>0.37127256</v>
      </c>
      <c r="R88" s="15" t="n">
        <v>0.37127256</v>
      </c>
      <c r="S88" s="15" t="n">
        <v>0.37127256</v>
      </c>
      <c r="T88" s="15" t="n">
        <v>0.37127256</v>
      </c>
      <c r="U88" s="15" t="n">
        <v>0.37127256</v>
      </c>
      <c r="V88" s="15" t="n">
        <v>0.37127256</v>
      </c>
      <c r="W88" s="15" t="n">
        <v>0.37127256</v>
      </c>
      <c r="X88" s="15" t="n">
        <v>0.37127256</v>
      </c>
      <c r="Y88" s="15" t="n">
        <v>0.37127256</v>
      </c>
      <c r="Z88" s="15" t="n">
        <v>0.37127256</v>
      </c>
      <c r="AA88" s="15" t="n">
        <v>0.37127256</v>
      </c>
      <c r="AB88" s="15" t="n">
        <v>0.37127256</v>
      </c>
      <c r="AC88" s="15" t="n">
        <v>0.37127256</v>
      </c>
      <c r="AD88" s="15" t="n">
        <v>0.37127256</v>
      </c>
      <c r="AE88" s="15" t="n">
        <v>0.37127256</v>
      </c>
      <c r="AF88" s="15" t="n">
        <v>0.37127256</v>
      </c>
      <c r="AG88" s="15" t="n">
        <v>0.37127256</v>
      </c>
      <c r="AH88" s="15" t="n">
        <v>0.37127256</v>
      </c>
      <c r="AI88" s="15" t="n">
        <v>0.37127256</v>
      </c>
      <c r="AJ88" s="15" t="n">
        <v>0.37127256</v>
      </c>
      <c r="AK88" s="15" t="n">
        <v>0.37127256</v>
      </c>
      <c r="AL88" s="15" t="n">
        <v>0.37127256</v>
      </c>
      <c r="AM88" s="15" t="n">
        <v>0.37127256</v>
      </c>
      <c r="AN88" s="15" t="n">
        <v>0.37127256</v>
      </c>
      <c r="AO88" s="15" t="n">
        <v>0.37127256</v>
      </c>
      <c r="AP88" s="15" t="n">
        <v>0.37127256</v>
      </c>
      <c r="AQ88" s="15" t="n">
        <v>0.37127256</v>
      </c>
      <c r="AR88" s="15" t="n">
        <v>0.37127256</v>
      </c>
      <c r="AS88" s="15" t="n">
        <v>0.37127256</v>
      </c>
      <c r="AT88" s="15" t="n">
        <v>0.37127256</v>
      </c>
      <c r="AU88" s="15" t="n">
        <v>0.37127256</v>
      </c>
      <c r="AV88" s="15" t="n">
        <v>0.37127256</v>
      </c>
      <c r="AW88" s="15" t="n">
        <v>0.37127256</v>
      </c>
      <c r="AX88" s="15" t="n">
        <v>0.37127256</v>
      </c>
      <c r="AY88" s="15" t="n">
        <v>0.37127256</v>
      </c>
      <c r="AZ88" s="15" t="n">
        <v>0.37127256</v>
      </c>
      <c r="BA88" s="15" t="n">
        <v>0.37127256</v>
      </c>
      <c r="BB88" s="15" t="n">
        <v>0.37127256</v>
      </c>
      <c r="BC88" s="15" t="n">
        <v>0.37127256</v>
      </c>
      <c r="BD88" s="15" t="n">
        <v>0.37127256</v>
      </c>
      <c r="BE88" s="15" t="n">
        <v>0.37127256</v>
      </c>
      <c r="BF88" s="15" t="n">
        <v>0.37127256</v>
      </c>
      <c r="BG88" s="15" t="n">
        <v>0.37127256</v>
      </c>
      <c r="BH88" s="15" t="n">
        <v>0.37127256</v>
      </c>
      <c r="BI88" s="15" t="n">
        <v>0.37127256</v>
      </c>
      <c r="BJ88" s="15" t="n">
        <v>0.37127256</v>
      </c>
      <c r="BK88" s="15" t="n">
        <v>0.37127256</v>
      </c>
      <c r="BL88" s="15" t="n">
        <v>0.37127256</v>
      </c>
      <c r="BM88" s="15" t="n">
        <v>0.37127256</v>
      </c>
      <c r="BN88" s="15" t="n">
        <v>0.37127256</v>
      </c>
      <c r="BO88" s="15" t="n">
        <v>0.37127256</v>
      </c>
      <c r="BP88" s="15" t="n">
        <v>0.37127256</v>
      </c>
      <c r="BQ88" s="15" t="n">
        <v>0.37127256</v>
      </c>
      <c r="BR88" s="15" t="n">
        <v>0.37127256</v>
      </c>
      <c r="BS88" s="15" t="n">
        <v>0.37127256</v>
      </c>
      <c r="BT88" s="15" t="n">
        <v>0.37127256</v>
      </c>
      <c r="BU88" s="15" t="n">
        <v>0.37127256</v>
      </c>
      <c r="BV88" s="15" t="n">
        <v>0.37127256</v>
      </c>
      <c r="BW88" s="15" t="n">
        <v>0.37127256</v>
      </c>
      <c r="BX88" s="15" t="n">
        <v>0.37127256</v>
      </c>
    </row>
    <row r="89">
      <c r="A89" t="n">
        <v>106</v>
      </c>
      <c r="B89" s="15" t="n">
        <v>0.39228009</v>
      </c>
      <c r="C89" s="15" t="n">
        <v>0.39228009</v>
      </c>
      <c r="D89" s="15" t="n">
        <v>0.39228009</v>
      </c>
      <c r="E89" s="15" t="n">
        <v>0.39228009</v>
      </c>
      <c r="F89" s="15" t="n">
        <v>0.39228009</v>
      </c>
      <c r="G89" s="15" t="n">
        <v>0.39228009</v>
      </c>
      <c r="H89" s="15" t="n">
        <v>0.39228009</v>
      </c>
      <c r="I89" s="15" t="n">
        <v>0.39228009</v>
      </c>
      <c r="J89" s="15" t="n">
        <v>0.39228009</v>
      </c>
      <c r="K89" s="15" t="n">
        <v>0.39228009</v>
      </c>
      <c r="L89" s="15" t="n">
        <v>0.39228009</v>
      </c>
      <c r="M89" s="15" t="n">
        <v>0.39228009</v>
      </c>
      <c r="N89" s="15" t="n">
        <v>0.39228009</v>
      </c>
      <c r="O89" s="15" t="n">
        <v>0.39228009</v>
      </c>
      <c r="P89" s="15" t="n">
        <v>0.39228009</v>
      </c>
      <c r="Q89" s="15" t="n">
        <v>0.39228009</v>
      </c>
      <c r="R89" s="15" t="n">
        <v>0.39228009</v>
      </c>
      <c r="S89" s="15" t="n">
        <v>0.39228009</v>
      </c>
      <c r="T89" s="15" t="n">
        <v>0.39228009</v>
      </c>
      <c r="U89" s="15" t="n">
        <v>0.39228009</v>
      </c>
      <c r="V89" s="15" t="n">
        <v>0.39228009</v>
      </c>
      <c r="W89" s="15" t="n">
        <v>0.39228009</v>
      </c>
      <c r="X89" s="15" t="n">
        <v>0.39228009</v>
      </c>
      <c r="Y89" s="15" t="n">
        <v>0.39228009</v>
      </c>
      <c r="Z89" s="15" t="n">
        <v>0.39228009</v>
      </c>
      <c r="AA89" s="15" t="n">
        <v>0.39228009</v>
      </c>
      <c r="AB89" s="15" t="n">
        <v>0.39228009</v>
      </c>
      <c r="AC89" s="15" t="n">
        <v>0.39228009</v>
      </c>
      <c r="AD89" s="15" t="n">
        <v>0.39228009</v>
      </c>
      <c r="AE89" s="15" t="n">
        <v>0.39228009</v>
      </c>
      <c r="AF89" s="15" t="n">
        <v>0.39228009</v>
      </c>
      <c r="AG89" s="15" t="n">
        <v>0.39228009</v>
      </c>
      <c r="AH89" s="15" t="n">
        <v>0.39228009</v>
      </c>
      <c r="AI89" s="15" t="n">
        <v>0.39228009</v>
      </c>
      <c r="AJ89" s="15" t="n">
        <v>0.39228009</v>
      </c>
      <c r="AK89" s="15" t="n">
        <v>0.39228009</v>
      </c>
      <c r="AL89" s="15" t="n">
        <v>0.39228009</v>
      </c>
      <c r="AM89" s="15" t="n">
        <v>0.39228009</v>
      </c>
      <c r="AN89" s="15" t="n">
        <v>0.39228009</v>
      </c>
      <c r="AO89" s="15" t="n">
        <v>0.39228009</v>
      </c>
      <c r="AP89" s="15" t="n">
        <v>0.39228009</v>
      </c>
      <c r="AQ89" s="15" t="n">
        <v>0.39228009</v>
      </c>
      <c r="AR89" s="15" t="n">
        <v>0.39228009</v>
      </c>
      <c r="AS89" s="15" t="n">
        <v>0.39228009</v>
      </c>
      <c r="AT89" s="15" t="n">
        <v>0.39228009</v>
      </c>
      <c r="AU89" s="15" t="n">
        <v>0.39228009</v>
      </c>
      <c r="AV89" s="15" t="n">
        <v>0.39228009</v>
      </c>
      <c r="AW89" s="15" t="n">
        <v>0.39228009</v>
      </c>
      <c r="AX89" s="15" t="n">
        <v>0.39228009</v>
      </c>
      <c r="AY89" s="15" t="n">
        <v>0.39228009</v>
      </c>
      <c r="AZ89" s="15" t="n">
        <v>0.39228009</v>
      </c>
      <c r="BA89" s="15" t="n">
        <v>0.39228009</v>
      </c>
      <c r="BB89" s="15" t="n">
        <v>0.39228009</v>
      </c>
      <c r="BC89" s="15" t="n">
        <v>0.39228009</v>
      </c>
      <c r="BD89" s="15" t="n">
        <v>0.39228009</v>
      </c>
      <c r="BE89" s="15" t="n">
        <v>0.39228009</v>
      </c>
      <c r="BF89" s="15" t="n">
        <v>0.39228009</v>
      </c>
      <c r="BG89" s="15" t="n">
        <v>0.39228009</v>
      </c>
      <c r="BH89" s="15" t="n">
        <v>0.39228009</v>
      </c>
      <c r="BI89" s="15" t="n">
        <v>0.39228009</v>
      </c>
      <c r="BJ89" s="15" t="n">
        <v>0.39228009</v>
      </c>
      <c r="BK89" s="15" t="n">
        <v>0.39228009</v>
      </c>
      <c r="BL89" s="15" t="n">
        <v>0.39228009</v>
      </c>
      <c r="BM89" s="15" t="n">
        <v>0.39228009</v>
      </c>
      <c r="BN89" s="15" t="n">
        <v>0.39228009</v>
      </c>
      <c r="BO89" s="15" t="n">
        <v>0.39228009</v>
      </c>
      <c r="BP89" s="15" t="n">
        <v>0.39228009</v>
      </c>
      <c r="BQ89" s="15" t="n">
        <v>0.39228009</v>
      </c>
      <c r="BR89" s="15" t="n">
        <v>0.39228009</v>
      </c>
      <c r="BS89" s="15" t="n">
        <v>0.39228009</v>
      </c>
      <c r="BT89" s="15" t="n">
        <v>0.39228009</v>
      </c>
      <c r="BU89" s="15" t="n">
        <v>0.39228009</v>
      </c>
      <c r="BV89" s="15" t="n">
        <v>0.39228009</v>
      </c>
      <c r="BW89" s="15" t="n">
        <v>0.39228009</v>
      </c>
      <c r="BX89" s="15" t="n">
        <v>0.39228009</v>
      </c>
    </row>
    <row r="90">
      <c r="A90" t="n">
        <v>107</v>
      </c>
      <c r="B90" s="15" t="n">
        <v>0.41260273</v>
      </c>
      <c r="C90" s="15" t="n">
        <v>0.41260273</v>
      </c>
      <c r="D90" s="15" t="n">
        <v>0.41260273</v>
      </c>
      <c r="E90" s="15" t="n">
        <v>0.41260273</v>
      </c>
      <c r="F90" s="15" t="n">
        <v>0.41260273</v>
      </c>
      <c r="G90" s="15" t="n">
        <v>0.41260273</v>
      </c>
      <c r="H90" s="15" t="n">
        <v>0.41260273</v>
      </c>
      <c r="I90" s="15" t="n">
        <v>0.41260273</v>
      </c>
      <c r="J90" s="15" t="n">
        <v>0.41260273</v>
      </c>
      <c r="K90" s="15" t="n">
        <v>0.41260273</v>
      </c>
      <c r="L90" s="15" t="n">
        <v>0.41260273</v>
      </c>
      <c r="M90" s="15" t="n">
        <v>0.41260273</v>
      </c>
      <c r="N90" s="15" t="n">
        <v>0.41260273</v>
      </c>
      <c r="O90" s="15" t="n">
        <v>0.41260273</v>
      </c>
      <c r="P90" s="15" t="n">
        <v>0.41260273</v>
      </c>
      <c r="Q90" s="15" t="n">
        <v>0.41260273</v>
      </c>
      <c r="R90" s="15" t="n">
        <v>0.41260273</v>
      </c>
      <c r="S90" s="15" t="n">
        <v>0.41260273</v>
      </c>
      <c r="T90" s="15" t="n">
        <v>0.41260273</v>
      </c>
      <c r="U90" s="15" t="n">
        <v>0.41260273</v>
      </c>
      <c r="V90" s="15" t="n">
        <v>0.41260273</v>
      </c>
      <c r="W90" s="15" t="n">
        <v>0.41260273</v>
      </c>
      <c r="X90" s="15" t="n">
        <v>0.41260273</v>
      </c>
      <c r="Y90" s="15" t="n">
        <v>0.41260273</v>
      </c>
      <c r="Z90" s="15" t="n">
        <v>0.41260273</v>
      </c>
      <c r="AA90" s="15" t="n">
        <v>0.41260273</v>
      </c>
      <c r="AB90" s="15" t="n">
        <v>0.41260273</v>
      </c>
      <c r="AC90" s="15" t="n">
        <v>0.41260273</v>
      </c>
      <c r="AD90" s="15" t="n">
        <v>0.41260273</v>
      </c>
      <c r="AE90" s="15" t="n">
        <v>0.41260273</v>
      </c>
      <c r="AF90" s="15" t="n">
        <v>0.41260273</v>
      </c>
      <c r="AG90" s="15" t="n">
        <v>0.41260273</v>
      </c>
      <c r="AH90" s="15" t="n">
        <v>0.41260273</v>
      </c>
      <c r="AI90" s="15" t="n">
        <v>0.41260273</v>
      </c>
      <c r="AJ90" s="15" t="n">
        <v>0.41260273</v>
      </c>
      <c r="AK90" s="15" t="n">
        <v>0.41260273</v>
      </c>
      <c r="AL90" s="15" t="n">
        <v>0.41260273</v>
      </c>
      <c r="AM90" s="15" t="n">
        <v>0.41260273</v>
      </c>
      <c r="AN90" s="15" t="n">
        <v>0.41260273</v>
      </c>
      <c r="AO90" s="15" t="n">
        <v>0.41260273</v>
      </c>
      <c r="AP90" s="15" t="n">
        <v>0.41260273</v>
      </c>
      <c r="AQ90" s="15" t="n">
        <v>0.41260273</v>
      </c>
      <c r="AR90" s="15" t="n">
        <v>0.41260273</v>
      </c>
      <c r="AS90" s="15" t="n">
        <v>0.41260273</v>
      </c>
      <c r="AT90" s="15" t="n">
        <v>0.41260273</v>
      </c>
      <c r="AU90" s="15" t="n">
        <v>0.41260273</v>
      </c>
      <c r="AV90" s="15" t="n">
        <v>0.41260273</v>
      </c>
      <c r="AW90" s="15" t="n">
        <v>0.41260273</v>
      </c>
      <c r="AX90" s="15" t="n">
        <v>0.41260273</v>
      </c>
      <c r="AY90" s="15" t="n">
        <v>0.41260273</v>
      </c>
      <c r="AZ90" s="15" t="n">
        <v>0.41260273</v>
      </c>
      <c r="BA90" s="15" t="n">
        <v>0.41260273</v>
      </c>
      <c r="BB90" s="15" t="n">
        <v>0.41260273</v>
      </c>
      <c r="BC90" s="15" t="n">
        <v>0.41260273</v>
      </c>
      <c r="BD90" s="15" t="n">
        <v>0.41260273</v>
      </c>
      <c r="BE90" s="15" t="n">
        <v>0.41260273</v>
      </c>
      <c r="BF90" s="15" t="n">
        <v>0.41260273</v>
      </c>
      <c r="BG90" s="15" t="n">
        <v>0.41260273</v>
      </c>
      <c r="BH90" s="15" t="n">
        <v>0.41260273</v>
      </c>
      <c r="BI90" s="15" t="n">
        <v>0.41260273</v>
      </c>
      <c r="BJ90" s="15" t="n">
        <v>0.41260273</v>
      </c>
      <c r="BK90" s="15" t="n">
        <v>0.41260273</v>
      </c>
      <c r="BL90" s="15" t="n">
        <v>0.41260273</v>
      </c>
      <c r="BM90" s="15" t="n">
        <v>0.41260273</v>
      </c>
      <c r="BN90" s="15" t="n">
        <v>0.41260273</v>
      </c>
      <c r="BO90" s="15" t="n">
        <v>0.41260273</v>
      </c>
      <c r="BP90" s="15" t="n">
        <v>0.41260273</v>
      </c>
      <c r="BQ90" s="15" t="n">
        <v>0.41260273</v>
      </c>
      <c r="BR90" s="15" t="n">
        <v>0.41260273</v>
      </c>
      <c r="BS90" s="15" t="n">
        <v>0.41260273</v>
      </c>
      <c r="BT90" s="15" t="n">
        <v>0.41260273</v>
      </c>
      <c r="BU90" s="15" t="n">
        <v>0.41260273</v>
      </c>
      <c r="BV90" s="15" t="n">
        <v>0.41260273</v>
      </c>
      <c r="BW90" s="15" t="n">
        <v>0.41260273</v>
      </c>
      <c r="BX90" s="15" t="n">
        <v>0.41260273</v>
      </c>
    </row>
    <row r="91">
      <c r="A91" t="n">
        <v>108</v>
      </c>
      <c r="B91" s="15" t="n">
        <v>0.43208425</v>
      </c>
      <c r="C91" s="15" t="n">
        <v>0.43208425</v>
      </c>
      <c r="D91" s="15" t="n">
        <v>0.43208425</v>
      </c>
      <c r="E91" s="15" t="n">
        <v>0.43208425</v>
      </c>
      <c r="F91" s="15" t="n">
        <v>0.43208425</v>
      </c>
      <c r="G91" s="15" t="n">
        <v>0.43208425</v>
      </c>
      <c r="H91" s="15" t="n">
        <v>0.43208425</v>
      </c>
      <c r="I91" s="15" t="n">
        <v>0.43208425</v>
      </c>
      <c r="J91" s="15" t="n">
        <v>0.43208425</v>
      </c>
      <c r="K91" s="15" t="n">
        <v>0.43208425</v>
      </c>
      <c r="L91" s="15" t="n">
        <v>0.43208425</v>
      </c>
      <c r="M91" s="15" t="n">
        <v>0.43208425</v>
      </c>
      <c r="N91" s="15" t="n">
        <v>0.43208425</v>
      </c>
      <c r="O91" s="15" t="n">
        <v>0.43208425</v>
      </c>
      <c r="P91" s="15" t="n">
        <v>0.43208425</v>
      </c>
      <c r="Q91" s="15" t="n">
        <v>0.43208425</v>
      </c>
      <c r="R91" s="15" t="n">
        <v>0.43208425</v>
      </c>
      <c r="S91" s="15" t="n">
        <v>0.43208425</v>
      </c>
      <c r="T91" s="15" t="n">
        <v>0.43208425</v>
      </c>
      <c r="U91" s="15" t="n">
        <v>0.43208425</v>
      </c>
      <c r="V91" s="15" t="n">
        <v>0.43208425</v>
      </c>
      <c r="W91" s="15" t="n">
        <v>0.43208425</v>
      </c>
      <c r="X91" s="15" t="n">
        <v>0.43208425</v>
      </c>
      <c r="Y91" s="15" t="n">
        <v>0.43208425</v>
      </c>
      <c r="Z91" s="15" t="n">
        <v>0.43208425</v>
      </c>
      <c r="AA91" s="15" t="n">
        <v>0.43208425</v>
      </c>
      <c r="AB91" s="15" t="n">
        <v>0.43208425</v>
      </c>
      <c r="AC91" s="15" t="n">
        <v>0.43208425</v>
      </c>
      <c r="AD91" s="15" t="n">
        <v>0.43208425</v>
      </c>
      <c r="AE91" s="15" t="n">
        <v>0.43208425</v>
      </c>
      <c r="AF91" s="15" t="n">
        <v>0.43208425</v>
      </c>
      <c r="AG91" s="15" t="n">
        <v>0.43208425</v>
      </c>
      <c r="AH91" s="15" t="n">
        <v>0.43208425</v>
      </c>
      <c r="AI91" s="15" t="n">
        <v>0.43208425</v>
      </c>
      <c r="AJ91" s="15" t="n">
        <v>0.43208425</v>
      </c>
      <c r="AK91" s="15" t="n">
        <v>0.43208425</v>
      </c>
      <c r="AL91" s="15" t="n">
        <v>0.43208425</v>
      </c>
      <c r="AM91" s="15" t="n">
        <v>0.43208425</v>
      </c>
      <c r="AN91" s="15" t="n">
        <v>0.43208425</v>
      </c>
      <c r="AO91" s="15" t="n">
        <v>0.43208425</v>
      </c>
      <c r="AP91" s="15" t="n">
        <v>0.43208425</v>
      </c>
      <c r="AQ91" s="15" t="n">
        <v>0.43208425</v>
      </c>
      <c r="AR91" s="15" t="n">
        <v>0.43208425</v>
      </c>
      <c r="AS91" s="15" t="n">
        <v>0.43208425</v>
      </c>
      <c r="AT91" s="15" t="n">
        <v>0.43208425</v>
      </c>
      <c r="AU91" s="15" t="n">
        <v>0.43208425</v>
      </c>
      <c r="AV91" s="15" t="n">
        <v>0.43208425</v>
      </c>
      <c r="AW91" s="15" t="n">
        <v>0.43208425</v>
      </c>
      <c r="AX91" s="15" t="n">
        <v>0.43208425</v>
      </c>
      <c r="AY91" s="15" t="n">
        <v>0.43208425</v>
      </c>
      <c r="AZ91" s="15" t="n">
        <v>0.43208425</v>
      </c>
      <c r="BA91" s="15" t="n">
        <v>0.43208425</v>
      </c>
      <c r="BB91" s="15" t="n">
        <v>0.43208425</v>
      </c>
      <c r="BC91" s="15" t="n">
        <v>0.43208425</v>
      </c>
      <c r="BD91" s="15" t="n">
        <v>0.43208425</v>
      </c>
      <c r="BE91" s="15" t="n">
        <v>0.43208425</v>
      </c>
      <c r="BF91" s="15" t="n">
        <v>0.43208425</v>
      </c>
      <c r="BG91" s="15" t="n">
        <v>0.43208425</v>
      </c>
      <c r="BH91" s="15" t="n">
        <v>0.43208425</v>
      </c>
      <c r="BI91" s="15" t="n">
        <v>0.43208425</v>
      </c>
      <c r="BJ91" s="15" t="n">
        <v>0.43208425</v>
      </c>
      <c r="BK91" s="15" t="n">
        <v>0.43208425</v>
      </c>
      <c r="BL91" s="15" t="n">
        <v>0.43208425</v>
      </c>
      <c r="BM91" s="15" t="n">
        <v>0.43208425</v>
      </c>
      <c r="BN91" s="15" t="n">
        <v>0.43208425</v>
      </c>
      <c r="BO91" s="15" t="n">
        <v>0.43208425</v>
      </c>
      <c r="BP91" s="15" t="n">
        <v>0.43208425</v>
      </c>
      <c r="BQ91" s="15" t="n">
        <v>0.43208425</v>
      </c>
      <c r="BR91" s="15" t="n">
        <v>0.43208425</v>
      </c>
      <c r="BS91" s="15" t="n">
        <v>0.43208425</v>
      </c>
      <c r="BT91" s="15" t="n">
        <v>0.43208425</v>
      </c>
      <c r="BU91" s="15" t="n">
        <v>0.43208425</v>
      </c>
      <c r="BV91" s="15" t="n">
        <v>0.43208425</v>
      </c>
      <c r="BW91" s="15" t="n">
        <v>0.43208425</v>
      </c>
      <c r="BX91" s="15" t="n">
        <v>0.43208425</v>
      </c>
    </row>
    <row r="92">
      <c r="A92" t="n">
        <v>109</v>
      </c>
      <c r="B92" s="15" t="n">
        <v>0.45059694</v>
      </c>
      <c r="C92" s="15" t="n">
        <v>0.45059694</v>
      </c>
      <c r="D92" s="15" t="n">
        <v>0.45059694</v>
      </c>
      <c r="E92" s="15" t="n">
        <v>0.45059694</v>
      </c>
      <c r="F92" s="15" t="n">
        <v>0.45059694</v>
      </c>
      <c r="G92" s="15" t="n">
        <v>0.45059694</v>
      </c>
      <c r="H92" s="15" t="n">
        <v>0.45059694</v>
      </c>
      <c r="I92" s="15" t="n">
        <v>0.45059694</v>
      </c>
      <c r="J92" s="15" t="n">
        <v>0.45059694</v>
      </c>
      <c r="K92" s="15" t="n">
        <v>0.45059694</v>
      </c>
      <c r="L92" s="15" t="n">
        <v>0.45059694</v>
      </c>
      <c r="M92" s="15" t="n">
        <v>0.45059694</v>
      </c>
      <c r="N92" s="15" t="n">
        <v>0.45059694</v>
      </c>
      <c r="O92" s="15" t="n">
        <v>0.45059694</v>
      </c>
      <c r="P92" s="15" t="n">
        <v>0.45059694</v>
      </c>
      <c r="Q92" s="15" t="n">
        <v>0.45059694</v>
      </c>
      <c r="R92" s="15" t="n">
        <v>0.45059694</v>
      </c>
      <c r="S92" s="15" t="n">
        <v>0.45059694</v>
      </c>
      <c r="T92" s="15" t="n">
        <v>0.45059694</v>
      </c>
      <c r="U92" s="15" t="n">
        <v>0.45059694</v>
      </c>
      <c r="V92" s="15" t="n">
        <v>0.45059694</v>
      </c>
      <c r="W92" s="15" t="n">
        <v>0.45059694</v>
      </c>
      <c r="X92" s="15" t="n">
        <v>0.45059694</v>
      </c>
      <c r="Y92" s="15" t="n">
        <v>0.45059694</v>
      </c>
      <c r="Z92" s="15" t="n">
        <v>0.45059694</v>
      </c>
      <c r="AA92" s="15" t="n">
        <v>0.45059694</v>
      </c>
      <c r="AB92" s="15" t="n">
        <v>0.45059694</v>
      </c>
      <c r="AC92" s="15" t="n">
        <v>0.45059694</v>
      </c>
      <c r="AD92" s="15" t="n">
        <v>0.45059694</v>
      </c>
      <c r="AE92" s="15" t="n">
        <v>0.45059694</v>
      </c>
      <c r="AF92" s="15" t="n">
        <v>0.45059694</v>
      </c>
      <c r="AG92" s="15" t="n">
        <v>0.45059694</v>
      </c>
      <c r="AH92" s="15" t="n">
        <v>0.45059694</v>
      </c>
      <c r="AI92" s="15" t="n">
        <v>0.45059694</v>
      </c>
      <c r="AJ92" s="15" t="n">
        <v>0.45059694</v>
      </c>
      <c r="AK92" s="15" t="n">
        <v>0.45059694</v>
      </c>
      <c r="AL92" s="15" t="n">
        <v>0.45059694</v>
      </c>
      <c r="AM92" s="15" t="n">
        <v>0.45059694</v>
      </c>
      <c r="AN92" s="15" t="n">
        <v>0.45059694</v>
      </c>
      <c r="AO92" s="15" t="n">
        <v>0.45059694</v>
      </c>
      <c r="AP92" s="15" t="n">
        <v>0.45059694</v>
      </c>
      <c r="AQ92" s="15" t="n">
        <v>0.45059694</v>
      </c>
      <c r="AR92" s="15" t="n">
        <v>0.45059694</v>
      </c>
      <c r="AS92" s="15" t="n">
        <v>0.45059694</v>
      </c>
      <c r="AT92" s="15" t="n">
        <v>0.45059694</v>
      </c>
      <c r="AU92" s="15" t="n">
        <v>0.45059694</v>
      </c>
      <c r="AV92" s="15" t="n">
        <v>0.45059694</v>
      </c>
      <c r="AW92" s="15" t="n">
        <v>0.45059694</v>
      </c>
      <c r="AX92" s="15" t="n">
        <v>0.45059694</v>
      </c>
      <c r="AY92" s="15" t="n">
        <v>0.45059694</v>
      </c>
      <c r="AZ92" s="15" t="n">
        <v>0.45059694</v>
      </c>
      <c r="BA92" s="15" t="n">
        <v>0.45059694</v>
      </c>
      <c r="BB92" s="15" t="n">
        <v>0.45059694</v>
      </c>
      <c r="BC92" s="15" t="n">
        <v>0.45059694</v>
      </c>
      <c r="BD92" s="15" t="n">
        <v>0.45059694</v>
      </c>
      <c r="BE92" s="15" t="n">
        <v>0.45059694</v>
      </c>
      <c r="BF92" s="15" t="n">
        <v>0.45059694</v>
      </c>
      <c r="BG92" s="15" t="n">
        <v>0.45059694</v>
      </c>
      <c r="BH92" s="15" t="n">
        <v>0.45059694</v>
      </c>
      <c r="BI92" s="15" t="n">
        <v>0.45059694</v>
      </c>
      <c r="BJ92" s="15" t="n">
        <v>0.45059694</v>
      </c>
      <c r="BK92" s="15" t="n">
        <v>0.45059694</v>
      </c>
      <c r="BL92" s="15" t="n">
        <v>0.45059694</v>
      </c>
      <c r="BM92" s="15" t="n">
        <v>0.45059694</v>
      </c>
      <c r="BN92" s="15" t="n">
        <v>0.45059694</v>
      </c>
      <c r="BO92" s="15" t="n">
        <v>0.45059694</v>
      </c>
      <c r="BP92" s="15" t="n">
        <v>0.45059694</v>
      </c>
      <c r="BQ92" s="15" t="n">
        <v>0.45059694</v>
      </c>
      <c r="BR92" s="15" t="n">
        <v>0.45059694</v>
      </c>
      <c r="BS92" s="15" t="n">
        <v>0.45059694</v>
      </c>
      <c r="BT92" s="15" t="n">
        <v>0.45059694</v>
      </c>
      <c r="BU92" s="15" t="n">
        <v>0.45059694</v>
      </c>
      <c r="BV92" s="15" t="n">
        <v>0.45059694</v>
      </c>
      <c r="BW92" s="15" t="n">
        <v>0.45059694</v>
      </c>
      <c r="BX92" s="15" t="n">
        <v>0.45059694</v>
      </c>
    </row>
    <row r="93">
      <c r="A93" t="n">
        <v>110</v>
      </c>
      <c r="B93" s="15" t="n">
        <v>1</v>
      </c>
      <c r="C93" s="15" t="n">
        <v>1</v>
      </c>
      <c r="D93" s="15" t="n">
        <v>1</v>
      </c>
      <c r="E93" s="15" t="n">
        <v>1</v>
      </c>
      <c r="F93" s="15" t="n">
        <v>1</v>
      </c>
      <c r="G93" s="15" t="n">
        <v>1</v>
      </c>
      <c r="H93" s="15" t="n">
        <v>1</v>
      </c>
      <c r="I93" s="15" t="n">
        <v>1</v>
      </c>
      <c r="J93" s="15" t="n">
        <v>1</v>
      </c>
      <c r="K93" s="15" t="n">
        <v>1</v>
      </c>
      <c r="L93" s="15" t="n">
        <v>1</v>
      </c>
      <c r="M93" s="15" t="n">
        <v>1</v>
      </c>
      <c r="N93" s="15" t="n">
        <v>1</v>
      </c>
      <c r="O93" s="15" t="n">
        <v>1</v>
      </c>
      <c r="P93" s="15" t="n">
        <v>1</v>
      </c>
      <c r="Q93" s="15" t="n">
        <v>1</v>
      </c>
      <c r="R93" s="15" t="n">
        <v>1</v>
      </c>
      <c r="S93" s="15" t="n">
        <v>1</v>
      </c>
      <c r="T93" s="15" t="n">
        <v>1</v>
      </c>
      <c r="U93" s="15" t="n">
        <v>1</v>
      </c>
      <c r="V93" s="15" t="n">
        <v>1</v>
      </c>
      <c r="W93" s="15" t="n">
        <v>1</v>
      </c>
      <c r="X93" s="15" t="n">
        <v>1</v>
      </c>
      <c r="Y93" s="15" t="n">
        <v>1</v>
      </c>
      <c r="Z93" s="15" t="n">
        <v>1</v>
      </c>
      <c r="AA93" s="15" t="n">
        <v>1</v>
      </c>
      <c r="AB93" s="15" t="n">
        <v>1</v>
      </c>
      <c r="AC93" s="15" t="n">
        <v>1</v>
      </c>
      <c r="AD93" s="15" t="n">
        <v>1</v>
      </c>
      <c r="AE93" s="15" t="n">
        <v>1</v>
      </c>
      <c r="AF93" s="15" t="n">
        <v>1</v>
      </c>
      <c r="AG93" s="15" t="n">
        <v>1</v>
      </c>
      <c r="AH93" s="15" t="n">
        <v>1</v>
      </c>
      <c r="AI93" s="15" t="n">
        <v>1</v>
      </c>
      <c r="AJ93" s="15" t="n">
        <v>1</v>
      </c>
      <c r="AK93" s="15" t="n">
        <v>1</v>
      </c>
      <c r="AL93" s="15" t="n">
        <v>1</v>
      </c>
      <c r="AM93" s="15" t="n">
        <v>1</v>
      </c>
      <c r="AN93" s="15" t="n">
        <v>1</v>
      </c>
      <c r="AO93" s="15" t="n">
        <v>1</v>
      </c>
      <c r="AP93" s="15" t="n">
        <v>1</v>
      </c>
      <c r="AQ93" s="15" t="n">
        <v>1</v>
      </c>
      <c r="AR93" s="15" t="n">
        <v>1</v>
      </c>
      <c r="AS93" s="15" t="n">
        <v>1</v>
      </c>
      <c r="AT93" s="15" t="n">
        <v>1</v>
      </c>
      <c r="AU93" s="15" t="n">
        <v>1</v>
      </c>
      <c r="AV93" s="15" t="n">
        <v>1</v>
      </c>
      <c r="AW93" s="15" t="n">
        <v>1</v>
      </c>
      <c r="AX93" s="15" t="n">
        <v>1</v>
      </c>
      <c r="AY93" s="15" t="n">
        <v>1</v>
      </c>
      <c r="AZ93" s="15" t="n">
        <v>1</v>
      </c>
      <c r="BA93" s="15" t="n">
        <v>1</v>
      </c>
      <c r="BB93" s="15" t="n">
        <v>1</v>
      </c>
      <c r="BC93" s="15" t="n">
        <v>1</v>
      </c>
      <c r="BD93" s="15" t="n">
        <v>1</v>
      </c>
      <c r="BE93" s="15" t="n">
        <v>1</v>
      </c>
      <c r="BF93" s="15" t="n">
        <v>1</v>
      </c>
      <c r="BG93" s="15" t="n">
        <v>1</v>
      </c>
      <c r="BH93" s="15" t="n">
        <v>1</v>
      </c>
      <c r="BI93" s="15" t="n">
        <v>1</v>
      </c>
      <c r="BJ93" s="15" t="n">
        <v>1</v>
      </c>
      <c r="BK93" s="15" t="n">
        <v>1</v>
      </c>
      <c r="BL93" s="15" t="n">
        <v>1</v>
      </c>
      <c r="BM93" s="15" t="n">
        <v>1</v>
      </c>
      <c r="BN93" s="15" t="n">
        <v>1</v>
      </c>
      <c r="BO93" s="15" t="n">
        <v>1</v>
      </c>
      <c r="BP93" s="15" t="n">
        <v>1</v>
      </c>
      <c r="BQ93" s="15" t="n">
        <v>1</v>
      </c>
      <c r="BR93" s="15" t="n">
        <v>1</v>
      </c>
      <c r="BS93" s="15" t="n">
        <v>1</v>
      </c>
      <c r="BT93" s="15" t="n">
        <v>1</v>
      </c>
      <c r="BU93" s="15" t="n">
        <v>1</v>
      </c>
      <c r="BV93" s="15" t="n">
        <v>1</v>
      </c>
      <c r="BW93" s="15" t="n">
        <v>1</v>
      </c>
      <c r="BX93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1" t="inlineStr">
        <is>
          <t>Validaciones de la base de valores cuota (etapa 1)</t>
        </is>
      </c>
    </row>
    <row r="3">
      <c r="A3" s="3" t="inlineStr">
        <is>
          <t>chequeo</t>
        </is>
      </c>
      <c r="B3" s="3" t="inlineStr">
        <is>
          <t>valor</t>
        </is>
      </c>
    </row>
    <row r="4">
      <c r="A4" s="4" t="inlineStr">
        <is>
          <t>Duplicados fecha-fondo-AFP</t>
        </is>
      </c>
      <c r="B4" s="14" t="n">
        <v>0</v>
      </c>
    </row>
    <row r="5">
      <c r="A5" s="4" t="inlineStr">
        <is>
          <t>Días calendario faltantes dentro de cada serie</t>
        </is>
      </c>
      <c r="B5" s="14" t="n">
        <v>0</v>
      </c>
    </row>
    <row r="6">
      <c r="A6" s="4" t="inlineStr">
        <is>
          <t>Valores cuota nulos</t>
        </is>
      </c>
      <c r="B6" s="14" t="n">
        <v>0</v>
      </c>
    </row>
    <row r="7">
      <c r="A7" s="4" t="inlineStr">
        <is>
          <t>Retornos diarios sobre 10% (brutos)</t>
        </is>
      </c>
      <c r="B7" s="14" t="n">
        <v>2</v>
      </c>
    </row>
    <row r="8">
      <c r="A8" s="4" t="inlineStr">
        <is>
          <t>Registros provisorios</t>
        </is>
      </c>
      <c r="B8" s="14" t="n">
        <v>560</v>
      </c>
    </row>
    <row r="10">
      <c r="A10" s="2" t="inlineStr">
        <is>
          <t>Rebases por fusión detectados y neutralizados:</t>
        </is>
      </c>
    </row>
    <row r="11">
      <c r="A11" s="2" t="inlineStr">
        <is>
          <t xml:space="preserve">  2004-03-01 fondo C PLANVITAL: +83.7% (Rebase por fusión, desaparece MAGISTER)</t>
        </is>
      </c>
    </row>
    <row r="12">
      <c r="A12" s="2" t="inlineStr">
        <is>
          <t xml:space="preserve">  2004-03-01 fondo E PLANVITAL: +75.4% (Rebase por fusión, desaparece MAGISTER)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3" customWidth="1" min="4" max="4"/>
    <col width="18" customWidth="1" min="5" max="5"/>
    <col width="19" customWidth="1" min="6" max="6"/>
  </cols>
  <sheetData>
    <row r="1">
      <c r="A1" s="21" t="inlineStr">
        <is>
          <t>Rentabilidad y riesgo por fondo, ago-2002 a ago-2026 (ponderado por afiliados)</t>
        </is>
      </c>
    </row>
    <row r="3">
      <c r="A3" s="3" t="inlineStr">
        <is>
          <t>fondo</t>
        </is>
      </c>
      <c r="B3" s="3" t="inlineStr">
        <is>
          <t>rent_nominal_anual</t>
        </is>
      </c>
      <c r="C3" s="3" t="inlineStr">
        <is>
          <t>rent_real_anual</t>
        </is>
      </c>
      <c r="D3" s="3" t="inlineStr">
        <is>
          <t>inflacion_implicita</t>
        </is>
      </c>
      <c r="E3" s="3" t="inlineStr">
        <is>
          <t>max_caida_real</t>
        </is>
      </c>
      <c r="F3" s="3" t="inlineStr">
        <is>
          <t>prima_real_vs_E</t>
        </is>
      </c>
    </row>
    <row r="4">
      <c r="A4" s="4" t="inlineStr">
        <is>
          <t>A</t>
        </is>
      </c>
      <c r="B4" s="22" t="n">
        <v>0.09943053769548182</v>
      </c>
      <c r="C4" s="22" t="n">
        <v>0.05838131928788126</v>
      </c>
      <c r="D4" s="22" t="n">
        <v>0.0387849045136397</v>
      </c>
      <c r="E4" s="22" t="n">
        <v>-0.4849058956312851</v>
      </c>
      <c r="F4" s="22" t="n">
        <v>0.03016098328513861</v>
      </c>
    </row>
    <row r="5">
      <c r="A5" s="4" t="inlineStr">
        <is>
          <t>B</t>
        </is>
      </c>
      <c r="B5" s="22" t="n">
        <v>0.09042232192294986</v>
      </c>
      <c r="C5" s="22" t="n">
        <v>0.04970944104134123</v>
      </c>
      <c r="D5" s="22" t="n">
        <v>0.03878490493637954</v>
      </c>
      <c r="E5" s="22" t="n">
        <v>-0.3710902790500041</v>
      </c>
      <c r="F5" s="22" t="n">
        <v>0.02148910503859858</v>
      </c>
    </row>
    <row r="6">
      <c r="A6" s="4" t="inlineStr">
        <is>
          <t>C</t>
        </is>
      </c>
      <c r="B6" s="22" t="n">
        <v>0.08284698996145967</v>
      </c>
      <c r="C6" s="22" t="n">
        <v>0.04241677110056119</v>
      </c>
      <c r="D6" s="22" t="n">
        <v>0.03878508095971367</v>
      </c>
      <c r="E6" s="22" t="n">
        <v>-0.2439664282747928</v>
      </c>
      <c r="F6" s="22" t="n">
        <v>0.01419643509781854</v>
      </c>
    </row>
    <row r="7">
      <c r="A7" s="4" t="inlineStr">
        <is>
          <t>D</t>
        </is>
      </c>
      <c r="B7" s="22" t="n">
        <v>0.07374633437805311</v>
      </c>
      <c r="C7" s="22" t="n">
        <v>0.03365608088281435</v>
      </c>
      <c r="D7" s="22" t="n">
        <v>0.03878490557613601</v>
      </c>
      <c r="E7" s="22" t="n">
        <v>-0.2191084379744066</v>
      </c>
      <c r="F7" s="22" t="n">
        <v>0.005435744880071702</v>
      </c>
    </row>
    <row r="8">
      <c r="A8" s="4" t="inlineStr">
        <is>
          <t>E</t>
        </is>
      </c>
      <c r="B8" s="22" t="n">
        <v>0.06809994658817886</v>
      </c>
      <c r="C8" s="22" t="n">
        <v>0.02822033600274265</v>
      </c>
      <c r="D8" s="22" t="n">
        <v>0.03878508252469515</v>
      </c>
      <c r="E8" s="22" t="n">
        <v>-0.2433440079756782</v>
      </c>
      <c r="F8" s="22" t="n">
        <v>0</v>
      </c>
    </row>
    <row r="10">
      <c r="A10" s="2" t="inlineStr">
        <is>
          <t>Real = valor cuota en UF. La inflación implícita es igual en los 5 fondos: control de consistencia.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27" customWidth="1" min="6" max="6"/>
    <col width="21" customWidth="1" min="7" max="7"/>
  </cols>
  <sheetData>
    <row r="1">
      <c r="A1" s="21" t="inlineStr">
        <is>
          <t>HMM gaussiano de 3 estados sobre retornos reales mensuales de los 5 fondos</t>
        </is>
      </c>
    </row>
    <row r="3">
      <c r="A3" s="3" t="inlineStr">
        <is>
          <t>regimen</t>
        </is>
      </c>
      <c r="B3" s="3" t="inlineStr">
        <is>
          <t>nombre</t>
        </is>
      </c>
      <c r="C3" s="3" t="inlineStr">
        <is>
          <t>fondo</t>
        </is>
      </c>
      <c r="D3" s="3" t="inlineStr">
        <is>
          <t>retorno_anual</t>
        </is>
      </c>
      <c r="E3" s="3" t="inlineStr">
        <is>
          <t>vol_anual</t>
        </is>
      </c>
      <c r="F3" s="3" t="inlineStr">
        <is>
          <t>duracion_esperada_meses</t>
        </is>
      </c>
      <c r="G3" s="3" t="inlineStr">
        <is>
          <t>prob_estacionaria</t>
        </is>
      </c>
    </row>
    <row r="4">
      <c r="A4" s="14" t="n">
        <v>0</v>
      </c>
      <c r="B4" s="4" t="inlineStr">
        <is>
          <t>Calma</t>
        </is>
      </c>
      <c r="C4" s="4" t="inlineStr">
        <is>
          <t>A</t>
        </is>
      </c>
      <c r="D4" s="22" t="n">
        <v>0.09553659423988003</v>
      </c>
      <c r="E4" s="22" t="n">
        <v>0.09222002568554998</v>
      </c>
      <c r="F4" s="23" t="n">
        <v>19.21309660372558</v>
      </c>
      <c r="G4" s="22" t="n">
        <v>0.5003653581597415</v>
      </c>
    </row>
    <row r="5">
      <c r="A5" s="14" t="n">
        <v>0</v>
      </c>
      <c r="B5" s="4" t="inlineStr">
        <is>
          <t>Calma</t>
        </is>
      </c>
      <c r="C5" s="4" t="inlineStr">
        <is>
          <t>B</t>
        </is>
      </c>
      <c r="D5" s="22" t="n">
        <v>0.07814276175900048</v>
      </c>
      <c r="E5" s="22" t="n">
        <v>0.06909150185064088</v>
      </c>
      <c r="F5" s="23" t="n">
        <v>19.21309660372558</v>
      </c>
      <c r="G5" s="22" t="n">
        <v>0.5003653581597415</v>
      </c>
    </row>
    <row r="6">
      <c r="A6" s="14" t="n">
        <v>0</v>
      </c>
      <c r="B6" s="4" t="inlineStr">
        <is>
          <t>Calma</t>
        </is>
      </c>
      <c r="C6" s="4" t="inlineStr">
        <is>
          <t>C</t>
        </is>
      </c>
      <c r="D6" s="22" t="n">
        <v>0.06680265705251598</v>
      </c>
      <c r="E6" s="22" t="n">
        <v>0.048920817280633</v>
      </c>
      <c r="F6" s="23" t="n">
        <v>19.21309660372558</v>
      </c>
      <c r="G6" s="22" t="n">
        <v>0.5003653581597415</v>
      </c>
    </row>
    <row r="7">
      <c r="A7" s="14" t="n">
        <v>0</v>
      </c>
      <c r="B7" s="4" t="inlineStr">
        <is>
          <t>Calma</t>
        </is>
      </c>
      <c r="C7" s="4" t="inlineStr">
        <is>
          <t>D</t>
        </is>
      </c>
      <c r="D7" s="22" t="n">
        <v>0.05519797887736555</v>
      </c>
      <c r="E7" s="22" t="n">
        <v>0.03146540246367421</v>
      </c>
      <c r="F7" s="23" t="n">
        <v>19.21309660372558</v>
      </c>
      <c r="G7" s="22" t="n">
        <v>0.5003653581597415</v>
      </c>
    </row>
    <row r="8">
      <c r="A8" s="14" t="n">
        <v>0</v>
      </c>
      <c r="B8" s="4" t="inlineStr">
        <is>
          <t>Calma</t>
        </is>
      </c>
      <c r="C8" s="4" t="inlineStr">
        <is>
          <t>E</t>
        </is>
      </c>
      <c r="D8" s="22" t="n">
        <v>0.041531834860836</v>
      </c>
      <c r="E8" s="22" t="n">
        <v>0.02422953325051544</v>
      </c>
      <c r="F8" s="23" t="n">
        <v>19.21309660372558</v>
      </c>
      <c r="G8" s="22" t="n">
        <v>0.5003653581597415</v>
      </c>
    </row>
    <row r="9">
      <c r="A9" s="14" t="n">
        <v>1</v>
      </c>
      <c r="B9" s="4" t="inlineStr">
        <is>
          <t>Tasas volátiles (post-2019)</t>
        </is>
      </c>
      <c r="C9" s="4" t="inlineStr">
        <is>
          <t>A</t>
        </is>
      </c>
      <c r="D9" s="22" t="n">
        <v>0.07256712812895882</v>
      </c>
      <c r="E9" s="22" t="n">
        <v>0.1009908995027311</v>
      </c>
      <c r="F9" s="23" t="n">
        <v>73.98494182976435</v>
      </c>
      <c r="G9" s="22" t="n">
        <v>0.4262554872941101</v>
      </c>
    </row>
    <row r="10">
      <c r="A10" s="14" t="n">
        <v>1</v>
      </c>
      <c r="B10" s="4" t="inlineStr">
        <is>
          <t>Tasas volátiles (post-2019)</t>
        </is>
      </c>
      <c r="C10" s="4" t="inlineStr">
        <is>
          <t>B</t>
        </is>
      </c>
      <c r="D10" s="22" t="n">
        <v>0.05810121958515846</v>
      </c>
      <c r="E10" s="22" t="n">
        <v>0.08171747219787927</v>
      </c>
      <c r="F10" s="23" t="n">
        <v>73.98494182976435</v>
      </c>
      <c r="G10" s="22" t="n">
        <v>0.4262554872941101</v>
      </c>
    </row>
    <row r="11">
      <c r="A11" s="14" t="n">
        <v>1</v>
      </c>
      <c r="B11" s="4" t="inlineStr">
        <is>
          <t>Tasas volátiles (post-2019)</t>
        </is>
      </c>
      <c r="C11" s="4" t="inlineStr">
        <is>
          <t>C</t>
        </is>
      </c>
      <c r="D11" s="22" t="n">
        <v>0.03201689515343475</v>
      </c>
      <c r="E11" s="22" t="n">
        <v>0.07089455927702276</v>
      </c>
      <c r="F11" s="23" t="n">
        <v>73.98494182976435</v>
      </c>
      <c r="G11" s="22" t="n">
        <v>0.4262554872941101</v>
      </c>
    </row>
    <row r="12">
      <c r="A12" s="14" t="n">
        <v>1</v>
      </c>
      <c r="B12" s="4" t="inlineStr">
        <is>
          <t>Tasas volátiles (post-2019)</t>
        </is>
      </c>
      <c r="C12" s="4" t="inlineStr">
        <is>
          <t>D</t>
        </is>
      </c>
      <c r="D12" s="22" t="n">
        <v>0.0144314864942845</v>
      </c>
      <c r="E12" s="22" t="n">
        <v>0.08048195441159389</v>
      </c>
      <c r="F12" s="23" t="n">
        <v>73.98494182976435</v>
      </c>
      <c r="G12" s="22" t="n">
        <v>0.4262554872941101</v>
      </c>
    </row>
    <row r="13">
      <c r="A13" s="14" t="n">
        <v>1</v>
      </c>
      <c r="B13" s="4" t="inlineStr">
        <is>
          <t>Tasas volátiles (post-2019)</t>
        </is>
      </c>
      <c r="C13" s="4" t="inlineStr">
        <is>
          <t>E</t>
        </is>
      </c>
      <c r="D13" s="22" t="n">
        <v>0.003746095105740865</v>
      </c>
      <c r="E13" s="22" t="n">
        <v>0.08914026951114476</v>
      </c>
      <c r="F13" s="23" t="n">
        <v>73.98494182976435</v>
      </c>
      <c r="G13" s="22" t="n">
        <v>0.4262554872941101</v>
      </c>
    </row>
    <row r="14">
      <c r="A14" s="14" t="n">
        <v>2</v>
      </c>
      <c r="B14" s="4" t="inlineStr">
        <is>
          <t>Crisis bursátil</t>
        </is>
      </c>
      <c r="C14" s="4" t="inlineStr">
        <is>
          <t>A</t>
        </is>
      </c>
      <c r="D14" s="22" t="n">
        <v>-0.1261716291202732</v>
      </c>
      <c r="E14" s="22" t="n">
        <v>0.2626042322201892</v>
      </c>
      <c r="F14" s="23" t="n">
        <v>2.54315924708609</v>
      </c>
      <c r="G14" s="22" t="n">
        <v>0.07337915454614842</v>
      </c>
    </row>
    <row r="15">
      <c r="A15" s="14" t="n">
        <v>2</v>
      </c>
      <c r="B15" s="4" t="inlineStr">
        <is>
          <t>Crisis bursátil</t>
        </is>
      </c>
      <c r="C15" s="4" t="inlineStr">
        <is>
          <t>B</t>
        </is>
      </c>
      <c r="D15" s="22" t="n">
        <v>-0.1042147456067788</v>
      </c>
      <c r="E15" s="22" t="n">
        <v>0.1893561941920067</v>
      </c>
      <c r="F15" s="23" t="n">
        <v>2.54315924708609</v>
      </c>
      <c r="G15" s="22" t="n">
        <v>0.07337915454614842</v>
      </c>
    </row>
    <row r="16">
      <c r="A16" s="14" t="n">
        <v>2</v>
      </c>
      <c r="B16" s="4" t="inlineStr">
        <is>
          <t>Crisis bursátil</t>
        </is>
      </c>
      <c r="C16" s="4" t="inlineStr">
        <is>
          <t>C</t>
        </is>
      </c>
      <c r="D16" s="22" t="n">
        <v>-0.06730691420088919</v>
      </c>
      <c r="E16" s="22" t="n">
        <v>0.1301582616528693</v>
      </c>
      <c r="F16" s="23" t="n">
        <v>2.54315924708609</v>
      </c>
      <c r="G16" s="22" t="n">
        <v>0.07337915454614842</v>
      </c>
    </row>
    <row r="17">
      <c r="A17" s="14" t="n">
        <v>2</v>
      </c>
      <c r="B17" s="4" t="inlineStr">
        <is>
          <t>Crisis bursátil</t>
        </is>
      </c>
      <c r="C17" s="4" t="inlineStr">
        <is>
          <t>D</t>
        </is>
      </c>
      <c r="D17" s="22" t="n">
        <v>-0.02943822378450822</v>
      </c>
      <c r="E17" s="22" t="n">
        <v>0.09647581582829282</v>
      </c>
      <c r="F17" s="23" t="n">
        <v>2.54315924708609</v>
      </c>
      <c r="G17" s="22" t="n">
        <v>0.07337915454614842</v>
      </c>
    </row>
    <row r="18">
      <c r="A18" s="14" t="n">
        <v>2</v>
      </c>
      <c r="B18" s="4" t="inlineStr">
        <is>
          <t>Crisis bursátil</t>
        </is>
      </c>
      <c r="C18" s="4" t="inlineStr">
        <is>
          <t>E</t>
        </is>
      </c>
      <c r="D18" s="22" t="n">
        <v>0.02081398691200254</v>
      </c>
      <c r="E18" s="22" t="n">
        <v>0.07660248680424474</v>
      </c>
      <c r="F18" s="23" t="n">
        <v>2.54315924708609</v>
      </c>
      <c r="G18" s="22" t="n">
        <v>0.07337915454614842</v>
      </c>
    </row>
    <row r="20">
      <c r="A20" s="2" t="inlineStr">
        <is>
          <t>Selección por BIC: K=1: BIC -10,579.5; K=2: BIC -10,793.1; K=3: BIC -10,801.7</t>
        </is>
      </c>
    </row>
    <row r="21">
      <c r="A21" s="2" t="inlineStr">
        <is>
          <t>Matriz de transición (fila = desde):</t>
        </is>
      </c>
    </row>
    <row r="22">
      <c r="A22" s="2" t="inlineStr">
        <is>
          <t xml:space="preserve">  0.948  0.006  0.046</t>
        </is>
      </c>
    </row>
    <row r="23">
      <c r="A23" s="2" t="inlineStr">
        <is>
          <t xml:space="preserve">  0.000  0.986  0.014</t>
        </is>
      </c>
    </row>
    <row r="24">
      <c r="A24" s="2" t="inlineStr">
        <is>
          <t xml:space="preserve">  0.355  0.038  0.607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9" customWidth="1" min="5" max="5"/>
    <col width="25" customWidth="1" min="6" max="6"/>
    <col width="20" customWidth="1" min="7" max="7"/>
  </cols>
  <sheetData>
    <row r="1">
      <c r="A1" s="21" t="inlineStr">
        <is>
          <t>GARCH(1,1) sobre retornos reales diarios del sistema (QMLE)</t>
        </is>
      </c>
    </row>
    <row r="3">
      <c r="A3" s="3" t="inlineStr">
        <is>
          <t>fondo</t>
        </is>
      </c>
      <c r="B3" s="3" t="inlineStr">
        <is>
          <t>alpha</t>
        </is>
      </c>
      <c r="C3" s="3" t="inlineStr">
        <is>
          <t>beta</t>
        </is>
      </c>
      <c r="D3" s="3" t="inlineStr">
        <is>
          <t>persistencia</t>
        </is>
      </c>
      <c r="E3" s="3" t="inlineStr">
        <is>
          <t>vida_media_dias</t>
        </is>
      </c>
      <c r="F3" s="3" t="inlineStr">
        <is>
          <t>vol_largo_plazo_anual</t>
        </is>
      </c>
      <c r="G3" s="3" t="inlineStr">
        <is>
          <t>vol_actual_anual</t>
        </is>
      </c>
    </row>
    <row r="4">
      <c r="A4" s="4" t="inlineStr">
        <is>
          <t>A</t>
        </is>
      </c>
      <c r="B4" s="24" t="n">
        <v>0.08832270590952872</v>
      </c>
      <c r="C4" s="24" t="n">
        <v>0.8916695811674086</v>
      </c>
      <c r="D4" s="24" t="n">
        <v>0.9799922870769373</v>
      </c>
      <c r="E4" s="23" t="n">
        <v>34.29625771209102</v>
      </c>
      <c r="F4" s="22" t="n">
        <v>0.09783050256703438</v>
      </c>
      <c r="G4" s="22" t="n">
        <v>0.07241063936846341</v>
      </c>
    </row>
    <row r="5">
      <c r="A5" s="4" t="inlineStr">
        <is>
          <t>B</t>
        </is>
      </c>
      <c r="B5" s="24" t="n">
        <v>0.08631146957869976</v>
      </c>
      <c r="C5" s="24" t="n">
        <v>0.898717577739889</v>
      </c>
      <c r="D5" s="24" t="n">
        <v>0.9850290473185888</v>
      </c>
      <c r="E5" s="23" t="n">
        <v>45.95202552024894</v>
      </c>
      <c r="F5" s="22" t="n">
        <v>0.07424441090123159</v>
      </c>
      <c r="G5" s="22" t="n">
        <v>0.05719805987906767</v>
      </c>
    </row>
    <row r="6">
      <c r="A6" s="4" t="inlineStr">
        <is>
          <t>C</t>
        </is>
      </c>
      <c r="B6" s="24" t="n">
        <v>0.09289814579042202</v>
      </c>
      <c r="C6" s="24" t="n">
        <v>0.8919831379518562</v>
      </c>
      <c r="D6" s="24" t="n">
        <v>0.9848812837422782</v>
      </c>
      <c r="E6" s="23" t="n">
        <v>45.49950652184852</v>
      </c>
      <c r="F6" s="22" t="n">
        <v>0.05408225591740735</v>
      </c>
      <c r="G6" s="22" t="n">
        <v>0.03954976855057382</v>
      </c>
    </row>
    <row r="7">
      <c r="A7" s="4" t="inlineStr">
        <is>
          <t>D</t>
        </is>
      </c>
      <c r="B7" s="24" t="n">
        <v>0.1118092454381825</v>
      </c>
      <c r="C7" s="24" t="n">
        <v>0.8860167186790435</v>
      </c>
      <c r="D7" s="24" t="n">
        <v>0.997825964117226</v>
      </c>
      <c r="E7" s="23" t="n">
        <v>318.4829879388163</v>
      </c>
      <c r="F7" s="22" t="n">
        <v>0.07753698518523777</v>
      </c>
      <c r="G7" s="22" t="n">
        <v>0.02762579118958461</v>
      </c>
    </row>
    <row r="8">
      <c r="A8" s="4" t="inlineStr">
        <is>
          <t>E</t>
        </is>
      </c>
      <c r="B8" s="24" t="n">
        <v>0.09633257773500351</v>
      </c>
      <c r="C8" s="24" t="n">
        <v>0.9023323684507532</v>
      </c>
      <c r="D8" s="24" t="n">
        <v>0.9986649461857566</v>
      </c>
      <c r="E8" s="23" t="n">
        <v>518.8437917286981</v>
      </c>
      <c r="F8" s="22" t="n">
        <v>0.06532637598282541</v>
      </c>
      <c r="G8" s="22" t="n">
        <v>0.03310514088961471</v>
      </c>
    </row>
    <row r="10">
      <c r="A10" s="2" t="inlineStr">
        <is>
          <t>Persistencia ~1 en D y E: huella de un cambio de nivel de volatilidad (quiebre 2019), no de shocks transitorios.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6" customWidth="1" min="10" max="10"/>
    <col width="16" customWidth="1" min="11" max="11"/>
  </cols>
  <sheetData>
    <row r="1">
      <c r="A1" s="21" t="inlineStr">
        <is>
          <t>Pensión mensual simulada (UF) por estrategia · Hombre 25-65</t>
        </is>
      </c>
    </row>
    <row r="3">
      <c r="A3" s="3" t="inlineStr">
        <is>
          <t>estrategia</t>
        </is>
      </c>
      <c r="B3" s="3" t="inlineStr">
        <is>
          <t>sexo</t>
        </is>
      </c>
      <c r="C3" s="3" t="inlineStr">
        <is>
          <t>p5</t>
        </is>
      </c>
      <c r="D3" s="3" t="inlineStr">
        <is>
          <t>p25</t>
        </is>
      </c>
      <c r="E3" s="3" t="inlineStr">
        <is>
          <t>mediana</t>
        </is>
      </c>
      <c r="F3" s="3" t="inlineStr">
        <is>
          <t>p75</t>
        </is>
      </c>
      <c r="G3" s="3" t="inlineStr">
        <is>
          <t>p95</t>
        </is>
      </c>
      <c r="H3" s="3" t="inlineStr">
        <is>
          <t>media</t>
        </is>
      </c>
      <c r="I3" s="3" t="inlineStr">
        <is>
          <t>cvar5</t>
        </is>
      </c>
      <c r="J3" s="3" t="inlineStr">
        <is>
          <t>tasa_reemplazo_mediana</t>
        </is>
      </c>
      <c r="K3" s="3" t="inlineStr">
        <is>
          <t>prob_tr_meta</t>
        </is>
      </c>
    </row>
    <row r="4">
      <c r="A4" s="4" t="inlineStr">
        <is>
          <t>Fondo A fijo</t>
        </is>
      </c>
      <c r="B4" s="4" t="inlineStr">
        <is>
          <t>H</t>
        </is>
      </c>
      <c r="C4" s="25" t="n">
        <v>7.264875388864526</v>
      </c>
      <c r="D4" s="25" t="n">
        <v>12.27581746966885</v>
      </c>
      <c r="E4" s="25" t="n">
        <v>17.80296474813023</v>
      </c>
      <c r="F4" s="25" t="n">
        <v>25.77166592193855</v>
      </c>
      <c r="G4" s="25" t="n">
        <v>44.64254109450423</v>
      </c>
      <c r="H4" s="25" t="n">
        <v>20.80155919243645</v>
      </c>
      <c r="I4" s="25" t="n">
        <v>5.862629701946944</v>
      </c>
      <c r="J4" s="22" t="n">
        <v>0.4907962852694895</v>
      </c>
      <c r="K4" s="22" t="n">
        <v>0.6395999999999999</v>
      </c>
    </row>
    <row r="5">
      <c r="A5" s="4" t="inlineStr">
        <is>
          <t>Fondo B fijo</t>
        </is>
      </c>
      <c r="B5" s="4" t="inlineStr">
        <is>
          <t>H</t>
        </is>
      </c>
      <c r="C5" s="25" t="n">
        <v>7.224138299930428</v>
      </c>
      <c r="D5" s="25" t="n">
        <v>10.65734717544862</v>
      </c>
      <c r="E5" s="25" t="n">
        <v>14.04536266732063</v>
      </c>
      <c r="F5" s="25" t="n">
        <v>18.41783845190888</v>
      </c>
      <c r="G5" s="25" t="n">
        <v>27.70670695444312</v>
      </c>
      <c r="H5" s="25" t="n">
        <v>15.26785970257133</v>
      </c>
      <c r="I5" s="25" t="n">
        <v>6.182624638047442</v>
      </c>
      <c r="J5" s="22" t="n">
        <v>0.3872058345286404</v>
      </c>
      <c r="K5" s="22" t="n">
        <v>0.4686</v>
      </c>
    </row>
    <row r="6">
      <c r="A6" s="4" t="inlineStr">
        <is>
          <t>Fondo C fijo</t>
        </is>
      </c>
      <c r="B6" s="4" t="inlineStr">
        <is>
          <t>H</t>
        </is>
      </c>
      <c r="C6" s="25" t="n">
        <v>6.392236068309662</v>
      </c>
      <c r="D6" s="25" t="n">
        <v>8.53925803166398</v>
      </c>
      <c r="E6" s="25" t="n">
        <v>10.54242006785487</v>
      </c>
      <c r="F6" s="25" t="n">
        <v>13.10448079975748</v>
      </c>
      <c r="G6" s="25" t="n">
        <v>17.87856359205838</v>
      </c>
      <c r="H6" s="25" t="n">
        <v>11.14829359314197</v>
      </c>
      <c r="I6" s="25" t="n">
        <v>5.67672346082603</v>
      </c>
      <c r="J6" s="22" t="n">
        <v>0.2906358957766914</v>
      </c>
      <c r="K6" s="22" t="n">
        <v>0.1638</v>
      </c>
    </row>
    <row r="7">
      <c r="A7" s="4" t="inlineStr">
        <is>
          <t>Fondo D fijo</t>
        </is>
      </c>
      <c r="B7" s="4" t="inlineStr">
        <is>
          <t>H</t>
        </is>
      </c>
      <c r="C7" s="25" t="n">
        <v>5.122038729592655</v>
      </c>
      <c r="D7" s="25" t="n">
        <v>6.972057909242278</v>
      </c>
      <c r="E7" s="25" t="n">
        <v>8.684995153390446</v>
      </c>
      <c r="F7" s="25" t="n">
        <v>10.641897690128</v>
      </c>
      <c r="G7" s="25" t="n">
        <v>13.94932170014233</v>
      </c>
      <c r="H7" s="25" t="n">
        <v>8.975997873410607</v>
      </c>
      <c r="I7" s="25" t="n">
        <v>4.525742012135002</v>
      </c>
      <c r="J7" s="22" t="n">
        <v>0.2394299724328348</v>
      </c>
      <c r="K7" s="22" t="n">
        <v>0.0347</v>
      </c>
    </row>
    <row r="8">
      <c r="A8" s="4" t="inlineStr">
        <is>
          <t>Fondo E fijo</t>
        </is>
      </c>
      <c r="B8" s="4" t="inlineStr">
        <is>
          <t>H</t>
        </is>
      </c>
      <c r="C8" s="25" t="n">
        <v>4.30108392926067</v>
      </c>
      <c r="D8" s="25" t="n">
        <v>6.014925535153194</v>
      </c>
      <c r="E8" s="25" t="n">
        <v>7.554305443113327</v>
      </c>
      <c r="F8" s="25" t="n">
        <v>9.221708616756409</v>
      </c>
      <c r="G8" s="25" t="n">
        <v>11.67824154795931</v>
      </c>
      <c r="H8" s="25" t="n">
        <v>7.723959482484119</v>
      </c>
      <c r="I8" s="25" t="n">
        <v>3.786560143631669</v>
      </c>
      <c r="J8" s="22" t="n">
        <v>0.2082588547315133</v>
      </c>
      <c r="K8" s="22" t="n">
        <v>0.0051</v>
      </c>
    </row>
    <row r="9">
      <c r="A9" s="4" t="inlineStr">
        <is>
          <t>Por defecto (ley)</t>
        </is>
      </c>
      <c r="B9" s="4" t="inlineStr">
        <is>
          <t>H</t>
        </is>
      </c>
      <c r="C9" s="25" t="n">
        <v>6.02302904659177</v>
      </c>
      <c r="D9" s="25" t="n">
        <v>8.155644424735749</v>
      </c>
      <c r="E9" s="25" t="n">
        <v>10.13995719853133</v>
      </c>
      <c r="F9" s="25" t="n">
        <v>12.58305708524688</v>
      </c>
      <c r="G9" s="25" t="n">
        <v>17.12276647944971</v>
      </c>
      <c r="H9" s="25" t="n">
        <v>10.66793246235129</v>
      </c>
      <c r="I9" s="25" t="n">
        <v>5.313203384592876</v>
      </c>
      <c r="J9" s="22" t="n">
        <v>0.2795407055082481</v>
      </c>
      <c r="K9" s="22" t="n">
        <v>0.1313</v>
      </c>
    </row>
    <row r="10">
      <c r="A10" s="4" t="inlineStr">
        <is>
          <t>Ciclo de vida (aprox. FG)</t>
        </is>
      </c>
      <c r="B10" s="4" t="inlineStr">
        <is>
          <t>H</t>
        </is>
      </c>
      <c r="C10" s="25" t="n">
        <v>7.196334709312206</v>
      </c>
      <c r="D10" s="25" t="n">
        <v>10.85677160360535</v>
      </c>
      <c r="E10" s="25" t="n">
        <v>14.75922288442176</v>
      </c>
      <c r="F10" s="25" t="n">
        <v>20.18782217162361</v>
      </c>
      <c r="G10" s="25" t="n">
        <v>32.51155875932654</v>
      </c>
      <c r="H10" s="25" t="n">
        <v>16.68972738130593</v>
      </c>
      <c r="I10" s="25" t="n">
        <v>6.179338765708631</v>
      </c>
      <c r="J10" s="22" t="n">
        <v>0.4068856995236942</v>
      </c>
      <c r="K10" s="22" t="n">
        <v>0.5115</v>
      </c>
    </row>
    <row r="11">
      <c r="A11" s="4" t="inlineStr">
        <is>
          <t>Reactivo (market timing)</t>
        </is>
      </c>
      <c r="B11" s="4" t="inlineStr">
        <is>
          <t>H</t>
        </is>
      </c>
      <c r="C11" s="25" t="n">
        <v>5.524493274739225</v>
      </c>
      <c r="D11" s="25" t="n">
        <v>7.700099784772733</v>
      </c>
      <c r="E11" s="25" t="n">
        <v>9.646141539722707</v>
      </c>
      <c r="F11" s="25" t="n">
        <v>12.02801142055242</v>
      </c>
      <c r="G11" s="25" t="n">
        <v>16.4678988177834</v>
      </c>
      <c r="H11" s="25" t="n">
        <v>10.12427568323378</v>
      </c>
      <c r="I11" s="25" t="n">
        <v>4.864029317819461</v>
      </c>
      <c r="J11" s="22" t="n">
        <v>0.265927080228412</v>
      </c>
      <c r="K11" s="22" t="n">
        <v>0.1029</v>
      </c>
    </row>
    <row r="13">
      <c r="A13" s="2" t="inlineStr">
        <is>
          <t>CNU al pensionarse: 193.9 · año de retiro 2066 · sueldo final 36.3 UF · traspasos (mediana, reactivo): 15</t>
        </is>
      </c>
    </row>
    <row r="14">
      <c r="A14" s="2" t="inlineStr">
        <is>
          <t>cvar5 = pensión promedio en el 5% de peores escenarios.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6" customWidth="1" min="10" max="10"/>
    <col width="16" customWidth="1" min="11" max="11"/>
  </cols>
  <sheetData>
    <row r="1">
      <c r="A1" s="21" t="inlineStr">
        <is>
          <t>Pensión mensual simulada (UF) por estrategia · Mujer 25-60</t>
        </is>
      </c>
    </row>
    <row r="3">
      <c r="A3" s="3" t="inlineStr">
        <is>
          <t>estrategia</t>
        </is>
      </c>
      <c r="B3" s="3" t="inlineStr">
        <is>
          <t>sexo</t>
        </is>
      </c>
      <c r="C3" s="3" t="inlineStr">
        <is>
          <t>p5</t>
        </is>
      </c>
      <c r="D3" s="3" t="inlineStr">
        <is>
          <t>p25</t>
        </is>
      </c>
      <c r="E3" s="3" t="inlineStr">
        <is>
          <t>mediana</t>
        </is>
      </c>
      <c r="F3" s="3" t="inlineStr">
        <is>
          <t>p75</t>
        </is>
      </c>
      <c r="G3" s="3" t="inlineStr">
        <is>
          <t>p95</t>
        </is>
      </c>
      <c r="H3" s="3" t="inlineStr">
        <is>
          <t>media</t>
        </is>
      </c>
      <c r="I3" s="3" t="inlineStr">
        <is>
          <t>cvar5</t>
        </is>
      </c>
      <c r="J3" s="3" t="inlineStr">
        <is>
          <t>tasa_reemplazo_mediana</t>
        </is>
      </c>
      <c r="K3" s="3" t="inlineStr">
        <is>
          <t>prob_tr_meta</t>
        </is>
      </c>
    </row>
    <row r="4">
      <c r="A4" s="4" t="inlineStr">
        <is>
          <t>Fondo A fijo</t>
        </is>
      </c>
      <c r="B4" s="4" t="inlineStr">
        <is>
          <t>M</t>
        </is>
      </c>
      <c r="C4" s="25" t="n">
        <v>4.592459364768019</v>
      </c>
      <c r="D4" s="25" t="n">
        <v>7.518357096900678</v>
      </c>
      <c r="E4" s="25" t="n">
        <v>10.54534513197063</v>
      </c>
      <c r="F4" s="25" t="n">
        <v>14.84389266413005</v>
      </c>
      <c r="G4" s="25" t="n">
        <v>24.49508142728919</v>
      </c>
      <c r="H4" s="25" t="n">
        <v>12.03236113384279</v>
      </c>
      <c r="I4" s="25" t="n">
        <v>3.809961288852722</v>
      </c>
      <c r="J4" s="22" t="n">
        <v>0.2907165346265966</v>
      </c>
      <c r="K4" s="22" t="n">
        <v>0.2662</v>
      </c>
    </row>
    <row r="5">
      <c r="A5" s="4" t="inlineStr">
        <is>
          <t>Fondo B fijo</t>
        </is>
      </c>
      <c r="B5" s="4" t="inlineStr">
        <is>
          <t>M</t>
        </is>
      </c>
      <c r="C5" s="25" t="n">
        <v>4.684903684169135</v>
      </c>
      <c r="D5" s="25" t="n">
        <v>6.711109356543025</v>
      </c>
      <c r="E5" s="25" t="n">
        <v>8.571310321133028</v>
      </c>
      <c r="F5" s="25" t="n">
        <v>11.08235170173193</v>
      </c>
      <c r="G5" s="25" t="n">
        <v>16.03019722891498</v>
      </c>
      <c r="H5" s="25" t="n">
        <v>9.244413911817039</v>
      </c>
      <c r="I5" s="25" t="n">
        <v>4.047450275433614</v>
      </c>
      <c r="J5" s="22" t="n">
        <v>0.2362958824566534</v>
      </c>
      <c r="K5" s="22" t="n">
        <v>0.08400000000000001</v>
      </c>
    </row>
    <row r="6">
      <c r="A6" s="4" t="inlineStr">
        <is>
          <t>Fondo C fijo</t>
        </is>
      </c>
      <c r="B6" s="4" t="inlineStr">
        <is>
          <t>M</t>
        </is>
      </c>
      <c r="C6" s="25" t="n">
        <v>4.246027055389016</v>
      </c>
      <c r="D6" s="25" t="n">
        <v>5.542893554173519</v>
      </c>
      <c r="E6" s="25" t="n">
        <v>6.725225444544492</v>
      </c>
      <c r="F6" s="25" t="n">
        <v>8.235723873665094</v>
      </c>
      <c r="G6" s="25" t="n">
        <v>10.93231526801662</v>
      </c>
      <c r="H6" s="25" t="n">
        <v>7.059030798068434</v>
      </c>
      <c r="I6" s="25" t="n">
        <v>3.791255240163121</v>
      </c>
      <c r="J6" s="22" t="n">
        <v>0.1854025839223744</v>
      </c>
      <c r="K6" s="22" t="n">
        <v>0.0039</v>
      </c>
    </row>
    <row r="7">
      <c r="A7" s="4" t="inlineStr">
        <is>
          <t>Fondo D fijo</t>
        </is>
      </c>
      <c r="B7" s="4" t="inlineStr">
        <is>
          <t>M</t>
        </is>
      </c>
      <c r="C7" s="25" t="n">
        <v>3.486651819362196</v>
      </c>
      <c r="D7" s="25" t="n">
        <v>4.678512452000074</v>
      </c>
      <c r="E7" s="25" t="n">
        <v>5.700694021225426</v>
      </c>
      <c r="F7" s="25" t="n">
        <v>6.887166982876844</v>
      </c>
      <c r="G7" s="25" t="n">
        <v>8.77855279417577</v>
      </c>
      <c r="H7" s="25" t="n">
        <v>5.859427433057174</v>
      </c>
      <c r="I7" s="25" t="n">
        <v>3.089270415319066</v>
      </c>
      <c r="J7" s="22" t="n">
        <v>0.1571580626406215</v>
      </c>
      <c r="K7" s="22" t="n">
        <v>0</v>
      </c>
    </row>
    <row r="8">
      <c r="A8" s="4" t="inlineStr">
        <is>
          <t>Fondo E fijo</t>
        </is>
      </c>
      <c r="B8" s="4" t="inlineStr">
        <is>
          <t>M</t>
        </is>
      </c>
      <c r="C8" s="25" t="n">
        <v>2.983086004622776</v>
      </c>
      <c r="D8" s="25" t="n">
        <v>4.130014421714753</v>
      </c>
      <c r="E8" s="25" t="n">
        <v>5.076553055406194</v>
      </c>
      <c r="F8" s="25" t="n">
        <v>6.091619243791349</v>
      </c>
      <c r="G8" s="25" t="n">
        <v>7.532902784765478</v>
      </c>
      <c r="H8" s="25" t="n">
        <v>5.153700718014528</v>
      </c>
      <c r="I8" s="25" t="n">
        <v>2.625958215722873</v>
      </c>
      <c r="J8" s="22" t="n">
        <v>0.1399515988947017</v>
      </c>
      <c r="K8" s="22" t="n">
        <v>0</v>
      </c>
    </row>
    <row r="9">
      <c r="A9" s="4" t="inlineStr">
        <is>
          <t>Por defecto (ley)</t>
        </is>
      </c>
      <c r="B9" s="4" t="inlineStr">
        <is>
          <t>M</t>
        </is>
      </c>
      <c r="C9" s="25" t="n">
        <v>3.981419947645171</v>
      </c>
      <c r="D9" s="25" t="n">
        <v>5.341512303860158</v>
      </c>
      <c r="E9" s="25" t="n">
        <v>6.499996681666271</v>
      </c>
      <c r="F9" s="25" t="n">
        <v>7.938309727525587</v>
      </c>
      <c r="G9" s="25" t="n">
        <v>10.49094597435628</v>
      </c>
      <c r="H9" s="25" t="n">
        <v>6.773489868234543</v>
      </c>
      <c r="I9" s="25" t="n">
        <v>3.544468856714943</v>
      </c>
      <c r="J9" s="22" t="n">
        <v>0.1791934248457614</v>
      </c>
      <c r="K9" s="22" t="n">
        <v>0.0019</v>
      </c>
    </row>
    <row r="10">
      <c r="A10" s="4" t="inlineStr">
        <is>
          <t>Ciclo de vida (aprox. FG)</t>
        </is>
      </c>
      <c r="B10" s="4" t="inlineStr">
        <is>
          <t>M</t>
        </is>
      </c>
      <c r="C10" s="25" t="n">
        <v>4.774423826080564</v>
      </c>
      <c r="D10" s="25" t="n">
        <v>7.229638689015874</v>
      </c>
      <c r="E10" s="25" t="n">
        <v>9.83917874887317</v>
      </c>
      <c r="F10" s="25" t="n">
        <v>13.42466746319537</v>
      </c>
      <c r="G10" s="25" t="n">
        <v>21.40172199590829</v>
      </c>
      <c r="H10" s="25" t="n">
        <v>11.05010300514381</v>
      </c>
      <c r="I10" s="25" t="n">
        <v>4.042708938054009</v>
      </c>
      <c r="J10" s="22" t="n">
        <v>0.2712487750421809</v>
      </c>
      <c r="K10" s="22" t="n">
        <v>0.201</v>
      </c>
    </row>
    <row r="11">
      <c r="A11" s="4" t="inlineStr">
        <is>
          <t>Reactivo (market timing)</t>
        </is>
      </c>
      <c r="B11" s="4" t="inlineStr">
        <is>
          <t>M</t>
        </is>
      </c>
      <c r="C11" s="25" t="n">
        <v>3.703556251922113</v>
      </c>
      <c r="D11" s="25" t="n">
        <v>5.056873303571773</v>
      </c>
      <c r="E11" s="25" t="n">
        <v>6.241321182433722</v>
      </c>
      <c r="F11" s="25" t="n">
        <v>7.626337528366219</v>
      </c>
      <c r="G11" s="25" t="n">
        <v>10.07927641664704</v>
      </c>
      <c r="H11" s="25" t="n">
        <v>6.474895454802557</v>
      </c>
      <c r="I11" s="25" t="n">
        <v>3.281590632175287</v>
      </c>
      <c r="J11" s="22" t="n">
        <v>0.1720621983388449</v>
      </c>
      <c r="K11" s="22" t="n">
        <v>0.0014</v>
      </c>
    </row>
    <row r="13">
      <c r="A13" s="2" t="inlineStr">
        <is>
          <t>CNU al pensionarse: 233.7 · año de retiro 2061 · sueldo final 36.3 UF · traspasos (mediana, reactivo): 14</t>
        </is>
      </c>
    </row>
    <row r="14">
      <c r="A14" s="2" t="inlineStr">
        <is>
          <t>cvar5 = pensión promedio en el 5% de peores escenarios.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6" customWidth="1" min="10" max="10"/>
    <col width="16" customWidth="1" min="11" max="11"/>
  </cols>
  <sheetData>
    <row r="1">
      <c r="A1" s="21" t="inlineStr">
        <is>
          <t>Sensibilidad: rentabilidades históricas castigadas en 1 p.p. anual (hombre)</t>
        </is>
      </c>
    </row>
    <row r="3">
      <c r="A3" s="3" t="inlineStr">
        <is>
          <t>estrategia</t>
        </is>
      </c>
      <c r="B3" s="3" t="inlineStr">
        <is>
          <t>sexo</t>
        </is>
      </c>
      <c r="C3" s="3" t="inlineStr">
        <is>
          <t>p5</t>
        </is>
      </c>
      <c r="D3" s="3" t="inlineStr">
        <is>
          <t>p25</t>
        </is>
      </c>
      <c r="E3" s="3" t="inlineStr">
        <is>
          <t>mediana</t>
        </is>
      </c>
      <c r="F3" s="3" t="inlineStr">
        <is>
          <t>p75</t>
        </is>
      </c>
      <c r="G3" s="3" t="inlineStr">
        <is>
          <t>p95</t>
        </is>
      </c>
      <c r="H3" s="3" t="inlineStr">
        <is>
          <t>media</t>
        </is>
      </c>
      <c r="I3" s="3" t="inlineStr">
        <is>
          <t>cvar5</t>
        </is>
      </c>
      <c r="J3" s="3" t="inlineStr">
        <is>
          <t>tasa_reemplazo_mediana</t>
        </is>
      </c>
      <c r="K3" s="3" t="inlineStr">
        <is>
          <t>prob_tr_meta</t>
        </is>
      </c>
    </row>
    <row r="4">
      <c r="A4" s="4" t="inlineStr">
        <is>
          <t>Fondo A fijo</t>
        </is>
      </c>
      <c r="B4" s="4" t="inlineStr">
        <is>
          <t>H</t>
        </is>
      </c>
      <c r="C4" s="25" t="n">
        <v>5.83695705017565</v>
      </c>
      <c r="D4" s="25" t="n">
        <v>9.666365126704521</v>
      </c>
      <c r="E4" s="25" t="n">
        <v>13.82560866631196</v>
      </c>
      <c r="F4" s="25" t="n">
        <v>19.79805154344433</v>
      </c>
      <c r="G4" s="25" t="n">
        <v>33.7776263016832</v>
      </c>
      <c r="H4" s="25" t="n">
        <v>16.01777538775553</v>
      </c>
      <c r="I4" s="25" t="n">
        <v>4.757294654475369</v>
      </c>
      <c r="J4" s="22" t="n">
        <v>0.3811476049644052</v>
      </c>
      <c r="K4" s="22" t="n">
        <v>0.4665</v>
      </c>
    </row>
    <row r="5">
      <c r="A5" s="4" t="inlineStr">
        <is>
          <t>Fondo B fijo</t>
        </is>
      </c>
      <c r="B5" s="4" t="inlineStr">
        <is>
          <t>H</t>
        </is>
      </c>
      <c r="C5" s="25" t="n">
        <v>5.834607104242092</v>
      </c>
      <c r="D5" s="25" t="n">
        <v>8.461745358196405</v>
      </c>
      <c r="E5" s="25" t="n">
        <v>11.03161212659459</v>
      </c>
      <c r="F5" s="25" t="n">
        <v>14.34359971372535</v>
      </c>
      <c r="G5" s="25" t="n">
        <v>21.24400719246283</v>
      </c>
      <c r="H5" s="25" t="n">
        <v>11.9182879851542</v>
      </c>
      <c r="I5" s="25" t="n">
        <v>5.019116488608393</v>
      </c>
      <c r="J5" s="22" t="n">
        <v>0.3041220565712301</v>
      </c>
      <c r="K5" s="22" t="n">
        <v>0.2389</v>
      </c>
    </row>
    <row r="6">
      <c r="A6" s="4" t="inlineStr">
        <is>
          <t>Fondo C fijo</t>
        </is>
      </c>
      <c r="B6" s="4" t="inlineStr">
        <is>
          <t>H</t>
        </is>
      </c>
      <c r="C6" s="25" t="n">
        <v>5.21059707796721</v>
      </c>
      <c r="D6" s="25" t="n">
        <v>6.855588480908533</v>
      </c>
      <c r="E6" s="25" t="n">
        <v>8.392169885386894</v>
      </c>
      <c r="F6" s="25" t="n">
        <v>10.34977892753457</v>
      </c>
      <c r="G6" s="25" t="n">
        <v>13.90635876217342</v>
      </c>
      <c r="H6" s="25" t="n">
        <v>8.842702866989605</v>
      </c>
      <c r="I6" s="25" t="n">
        <v>4.64694033812859</v>
      </c>
      <c r="J6" s="22" t="n">
        <v>0.2313572971339478</v>
      </c>
      <c r="K6" s="22" t="n">
        <v>0.0379</v>
      </c>
    </row>
    <row r="7">
      <c r="A7" s="4" t="inlineStr">
        <is>
          <t>Fondo D fijo</t>
        </is>
      </c>
      <c r="B7" s="4" t="inlineStr">
        <is>
          <t>H</t>
        </is>
      </c>
      <c r="C7" s="25" t="n">
        <v>4.222471132260966</v>
      </c>
      <c r="D7" s="25" t="n">
        <v>5.673624868751335</v>
      </c>
      <c r="E7" s="25" t="n">
        <v>6.986164449177604</v>
      </c>
      <c r="F7" s="25" t="n">
        <v>8.49250103367077</v>
      </c>
      <c r="G7" s="25" t="n">
        <v>11.00641491948563</v>
      </c>
      <c r="H7" s="25" t="n">
        <v>7.205222716032731</v>
      </c>
      <c r="I7" s="25" t="n">
        <v>3.757163774696479</v>
      </c>
      <c r="J7" s="22" t="n">
        <v>0.1925962112742063</v>
      </c>
      <c r="K7" s="22" t="n">
        <v>0.0016</v>
      </c>
    </row>
    <row r="8">
      <c r="A8" s="4" t="inlineStr">
        <is>
          <t>Fondo E fijo</t>
        </is>
      </c>
      <c r="B8" s="4" t="inlineStr">
        <is>
          <t>H</t>
        </is>
      </c>
      <c r="C8" s="25" t="n">
        <v>3.589193717659968</v>
      </c>
      <c r="D8" s="25" t="n">
        <v>4.93774979192761</v>
      </c>
      <c r="E8" s="25" t="n">
        <v>6.141159727368943</v>
      </c>
      <c r="F8" s="25" t="n">
        <v>7.417101464854944</v>
      </c>
      <c r="G8" s="25" t="n">
        <v>9.275368522974023</v>
      </c>
      <c r="H8" s="25" t="n">
        <v>6.253946819398451</v>
      </c>
      <c r="I8" s="25" t="n">
        <v>3.180154088774259</v>
      </c>
      <c r="J8" s="22" t="n">
        <v>0.1693009239798569</v>
      </c>
      <c r="K8" s="22" t="n">
        <v>0.0003</v>
      </c>
    </row>
    <row r="9">
      <c r="A9" s="4" t="inlineStr">
        <is>
          <t>Por defecto (ley)</t>
        </is>
      </c>
      <c r="B9" s="4" t="inlineStr">
        <is>
          <t>H</t>
        </is>
      </c>
      <c r="C9" s="25" t="n">
        <v>4.90140735282368</v>
      </c>
      <c r="D9" s="25" t="n">
        <v>6.548904383188855</v>
      </c>
      <c r="E9" s="25" t="n">
        <v>8.045123813409147</v>
      </c>
      <c r="F9" s="25" t="n">
        <v>9.899486862265308</v>
      </c>
      <c r="G9" s="25" t="n">
        <v>13.27896648543076</v>
      </c>
      <c r="H9" s="25" t="n">
        <v>8.434816966351544</v>
      </c>
      <c r="I9" s="25" t="n">
        <v>4.3424336554133</v>
      </c>
      <c r="J9" s="22" t="n">
        <v>0.2217898500624181</v>
      </c>
      <c r="K9" s="22" t="n">
        <v>0.0262</v>
      </c>
    </row>
    <row r="10">
      <c r="A10" s="4" t="inlineStr">
        <is>
          <t>Ciclo de vida (aprox. FG)</t>
        </is>
      </c>
      <c r="B10" s="4" t="inlineStr">
        <is>
          <t>H</t>
        </is>
      </c>
      <c r="C10" s="25" t="n">
        <v>5.836171026593725</v>
      </c>
      <c r="D10" s="25" t="n">
        <v>8.578374778780777</v>
      </c>
      <c r="E10" s="25" t="n">
        <v>11.44502298988782</v>
      </c>
      <c r="F10" s="25" t="n">
        <v>15.46191401299565</v>
      </c>
      <c r="G10" s="25" t="n">
        <v>24.37441878014962</v>
      </c>
      <c r="H10" s="25" t="n">
        <v>12.84076388178911</v>
      </c>
      <c r="I10" s="25" t="n">
        <v>5.049084421527706</v>
      </c>
      <c r="J10" s="22" t="n">
        <v>0.3155190636913887</v>
      </c>
      <c r="K10" s="22" t="n">
        <v>0.3012</v>
      </c>
    </row>
    <row r="11">
      <c r="A11" s="4" t="inlineStr">
        <is>
          <t>Reactivo (market timing)</t>
        </is>
      </c>
      <c r="B11" s="4" t="inlineStr">
        <is>
          <t>H</t>
        </is>
      </c>
      <c r="C11" s="25" t="n">
        <v>4.493108665475877</v>
      </c>
      <c r="D11" s="25" t="n">
        <v>6.152895704372939</v>
      </c>
      <c r="E11" s="25" t="n">
        <v>7.664298475549256</v>
      </c>
      <c r="F11" s="25" t="n">
        <v>9.431223060909437</v>
      </c>
      <c r="G11" s="25" t="n">
        <v>12.70365414743461</v>
      </c>
      <c r="H11" s="25" t="n">
        <v>7.986212317573465</v>
      </c>
      <c r="I11" s="25" t="n">
        <v>3.963887867311053</v>
      </c>
      <c r="J11" s="22" t="n">
        <v>0.2112911683089892</v>
      </c>
      <c r="K11" s="22" t="n">
        <v>0.0177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5" customWidth="1" min="4" max="4"/>
    <col width="14" customWidth="1" min="5" max="5"/>
    <col width="12" customWidth="1" min="6" max="6"/>
  </cols>
  <sheetData>
    <row r="1">
      <c r="A1" s="21" t="inlineStr">
        <is>
          <t>Evaluación retrospectiva con la historia real (sep-2002 a ago-2026)</t>
        </is>
      </c>
    </row>
    <row r="3">
      <c r="A3" s="3" t="inlineStr">
        <is>
          <t>estrategia</t>
        </is>
      </c>
      <c r="B3" s="3" t="inlineStr">
        <is>
          <t>saldo_final_uf</t>
        </is>
      </c>
      <c r="C3" s="3" t="inlineStr">
        <is>
          <t>pension_mensual_uf</t>
        </is>
      </c>
      <c r="D3" s="3" t="inlineStr">
        <is>
          <t>n_traspasos</t>
        </is>
      </c>
      <c r="E3" s="3" t="inlineStr">
        <is>
          <t>vs_defecto</t>
        </is>
      </c>
      <c r="F3" s="3" t="inlineStr">
        <is>
          <t>sexo</t>
        </is>
      </c>
    </row>
    <row r="4">
      <c r="A4" s="4" t="inlineStr">
        <is>
          <t>Fondo A fijo</t>
        </is>
      </c>
      <c r="B4" s="26" t="n">
        <v>1150.540946836004</v>
      </c>
      <c r="C4" s="25" t="n">
        <v>6.501467944442683</v>
      </c>
      <c r="D4" s="14" t="n">
        <v>0</v>
      </c>
      <c r="E4" s="22" t="n">
        <v>0.3406289127175446</v>
      </c>
      <c r="F4" s="4" t="inlineStr">
        <is>
          <t>H</t>
        </is>
      </c>
    </row>
    <row r="5">
      <c r="A5" s="4" t="inlineStr">
        <is>
          <t>Fondo B fijo</t>
        </is>
      </c>
      <c r="B5" s="26" t="n">
        <v>1069.24741555446</v>
      </c>
      <c r="C5" s="25" t="n">
        <v>6.042095082337287</v>
      </c>
      <c r="D5" s="14" t="n">
        <v>0</v>
      </c>
      <c r="E5" s="22" t="n">
        <v>0.2459043757485178</v>
      </c>
      <c r="F5" s="4" t="inlineStr">
        <is>
          <t>H</t>
        </is>
      </c>
    </row>
    <row r="6">
      <c r="A6" s="4" t="inlineStr">
        <is>
          <t>Fondo C fijo</t>
        </is>
      </c>
      <c r="B6" s="26" t="n">
        <v>945.4217266904733</v>
      </c>
      <c r="C6" s="25" t="n">
        <v>5.342381830877936</v>
      </c>
      <c r="D6" s="14" t="n">
        <v>0</v>
      </c>
      <c r="E6" s="22" t="n">
        <v>0.1016206811223159</v>
      </c>
      <c r="F6" s="4" t="inlineStr">
        <is>
          <t>H</t>
        </is>
      </c>
    </row>
    <row r="7">
      <c r="A7" s="4" t="inlineStr">
        <is>
          <t>Fondo D fijo</t>
        </is>
      </c>
      <c r="B7" s="26" t="n">
        <v>843.7839099860165</v>
      </c>
      <c r="C7" s="25" t="n">
        <v>4.768047636980397</v>
      </c>
      <c r="D7" s="14" t="n">
        <v>0</v>
      </c>
      <c r="E7" s="22" t="n">
        <v>-0.01680934613937612</v>
      </c>
      <c r="F7" s="4" t="inlineStr">
        <is>
          <t>H</t>
        </is>
      </c>
    </row>
    <row r="8">
      <c r="A8" s="4" t="inlineStr">
        <is>
          <t>Fondo E fijo</t>
        </is>
      </c>
      <c r="B8" s="26" t="n">
        <v>784.330318628491</v>
      </c>
      <c r="C8" s="25" t="n">
        <v>4.432087739633047</v>
      </c>
      <c r="D8" s="14" t="n">
        <v>0</v>
      </c>
      <c r="E8" s="22" t="n">
        <v>-0.08608563200993347</v>
      </c>
      <c r="F8" s="4" t="inlineStr">
        <is>
          <t>H</t>
        </is>
      </c>
    </row>
    <row r="9">
      <c r="A9" s="4" t="inlineStr">
        <is>
          <t>Por defecto (ley)</t>
        </is>
      </c>
      <c r="B9" s="26" t="n">
        <v>858.2098565245623</v>
      </c>
      <c r="C9" s="25" t="n">
        <v>4.849565664866777</v>
      </c>
      <c r="D9" s="14" t="n">
        <v>0</v>
      </c>
      <c r="E9" s="22" t="n">
        <v>0</v>
      </c>
      <c r="F9" s="4" t="inlineStr">
        <is>
          <t>H</t>
        </is>
      </c>
    </row>
    <row r="10">
      <c r="A10" s="4" t="inlineStr">
        <is>
          <t>Ciclo de vida (aprox. FG)</t>
        </is>
      </c>
      <c r="B10" s="26" t="n">
        <v>907.3757222244001</v>
      </c>
      <c r="C10" s="25" t="n">
        <v>5.127391761093348</v>
      </c>
      <c r="D10" s="14" t="n">
        <v>0</v>
      </c>
      <c r="E10" s="22" t="n">
        <v>0.0572888616065792</v>
      </c>
      <c r="F10" s="4" t="inlineStr">
        <is>
          <t>H</t>
        </is>
      </c>
    </row>
    <row r="11">
      <c r="A11" s="4" t="inlineStr">
        <is>
          <t>Reactivo (market timing)</t>
        </is>
      </c>
      <c r="B11" s="26" t="n">
        <v>878.2170224499031</v>
      </c>
      <c r="C11" s="25" t="n">
        <v>4.96262200439164</v>
      </c>
      <c r="D11" s="14" t="n">
        <v>8</v>
      </c>
      <c r="E11" s="22" t="n">
        <v>0.02331267320368768</v>
      </c>
      <c r="F11" s="4" t="inlineStr">
        <is>
          <t>H</t>
        </is>
      </c>
    </row>
    <row r="12">
      <c r="A12" s="4" t="inlineStr">
        <is>
          <t>Fondo A fijo</t>
        </is>
      </c>
      <c r="B12" s="26" t="n">
        <v>1100.219781037817</v>
      </c>
      <c r="C12" s="25" t="n">
        <v>4.922038630634094</v>
      </c>
      <c r="D12" s="14" t="n">
        <v>0</v>
      </c>
      <c r="E12" s="22" t="n">
        <v>0.3389919397365702</v>
      </c>
      <c r="F12" s="4" t="inlineStr">
        <is>
          <t>M</t>
        </is>
      </c>
    </row>
    <row r="13">
      <c r="A13" s="4" t="inlineStr">
        <is>
          <t>Fondo B fijo</t>
        </is>
      </c>
      <c r="B13" s="26" t="n">
        <v>1023.052188681987</v>
      </c>
      <c r="C13" s="25" t="n">
        <v>4.576814996997786</v>
      </c>
      <c r="D13" s="14" t="n">
        <v>0</v>
      </c>
      <c r="E13" s="22" t="n">
        <v>0.2450772638198484</v>
      </c>
      <c r="F13" s="4" t="inlineStr">
        <is>
          <t>M</t>
        </is>
      </c>
    </row>
    <row r="14">
      <c r="A14" s="4" t="inlineStr">
        <is>
          <t>Fondo C fijo</t>
        </is>
      </c>
      <c r="B14" s="26" t="n">
        <v>904.8746324291561</v>
      </c>
      <c r="C14" s="25" t="n">
        <v>4.048125632222245</v>
      </c>
      <c r="D14" s="14" t="n">
        <v>0</v>
      </c>
      <c r="E14" s="22" t="n">
        <v>0.1012525498785644</v>
      </c>
      <c r="F14" s="4" t="inlineStr">
        <is>
          <t>M</t>
        </is>
      </c>
    </row>
    <row r="15">
      <c r="A15" s="4" t="inlineStr">
        <is>
          <t>Fondo D fijo</t>
        </is>
      </c>
      <c r="B15" s="26" t="n">
        <v>808.1421295154163</v>
      </c>
      <c r="C15" s="25" t="n">
        <v>3.615374717918344</v>
      </c>
      <c r="D15" s="14" t="n">
        <v>0</v>
      </c>
      <c r="E15" s="22" t="n">
        <v>-0.01647305726318704</v>
      </c>
      <c r="F15" s="4" t="inlineStr">
        <is>
          <t>M</t>
        </is>
      </c>
    </row>
    <row r="16">
      <c r="A16" s="4" t="inlineStr">
        <is>
          <t>Fondo E fijo</t>
        </is>
      </c>
      <c r="B16" s="26" t="n">
        <v>751.6410785544879</v>
      </c>
      <c r="C16" s="25" t="n">
        <v>3.362606716202552</v>
      </c>
      <c r="D16" s="14" t="n">
        <v>0</v>
      </c>
      <c r="E16" s="22" t="n">
        <v>-0.08523609272866917</v>
      </c>
      <c r="F16" s="4" t="inlineStr">
        <is>
          <t>M</t>
        </is>
      </c>
    </row>
    <row r="17">
      <c r="A17" s="4" t="inlineStr">
        <is>
          <t>Por defecto (ley)</t>
        </is>
      </c>
      <c r="B17" s="26" t="n">
        <v>821.6776728725278</v>
      </c>
      <c r="C17" s="25" t="n">
        <v>3.675928498570681</v>
      </c>
      <c r="D17" s="14" t="n">
        <v>0</v>
      </c>
      <c r="E17" s="22" t="n">
        <v>0</v>
      </c>
      <c r="F17" s="4" t="inlineStr">
        <is>
          <t>M</t>
        </is>
      </c>
    </row>
    <row r="18">
      <c r="A18" s="4" t="inlineStr">
        <is>
          <t>Ciclo de vida (aprox. FG)</t>
        </is>
      </c>
      <c r="B18" s="26" t="n">
        <v>968.1522761506617</v>
      </c>
      <c r="C18" s="25" t="n">
        <v>4.331209987021757</v>
      </c>
      <c r="D18" s="14" t="n">
        <v>0</v>
      </c>
      <c r="E18" s="22" t="n">
        <v>0.1782628494286194</v>
      </c>
      <c r="F18" s="4" t="inlineStr">
        <is>
          <t>M</t>
        </is>
      </c>
    </row>
    <row r="19">
      <c r="A19" s="4" t="inlineStr">
        <is>
          <t>Reactivo (market timing)</t>
        </is>
      </c>
      <c r="B19" s="26" t="n">
        <v>840.1800020337024</v>
      </c>
      <c r="C19" s="25" t="n">
        <v>3.758702122947899</v>
      </c>
      <c r="D19" s="14" t="n">
        <v>8</v>
      </c>
      <c r="E19" s="22" t="n">
        <v>0.02251774603597512</v>
      </c>
      <c r="F19" s="4" t="inlineStr">
        <is>
          <t>M</t>
        </is>
      </c>
    </row>
    <row r="21">
      <c r="A21" s="2" t="inlineStr">
        <is>
          <t>Un solo camino histórico: útil como evidencia, no como probabilidad.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8" customWidth="1" min="4" max="4"/>
    <col width="19" customWidth="1" min="5" max="5"/>
    <col width="16" customWidth="1" min="6" max="6"/>
    <col width="15" customWidth="1" min="7" max="7"/>
  </cols>
  <sheetData>
    <row r="1">
      <c r="A1" s="21" t="inlineStr">
        <is>
          <t>Frecuencia histórica fuera de banda (AFP vs promedio de sus pares, 36 meses móviles)</t>
        </is>
      </c>
    </row>
    <row r="3">
      <c r="A3" s="3" t="inlineStr">
        <is>
          <t>fondo</t>
        </is>
      </c>
      <c r="B3" s="3" t="inlineStr">
        <is>
          <t>banda</t>
        </is>
      </c>
      <c r="C3" s="3" t="inlineStr">
        <is>
          <t>pct_meses_sobre</t>
        </is>
      </c>
      <c r="D3" s="3" t="inlineStr">
        <is>
          <t>pct_meses_bajo</t>
        </is>
      </c>
      <c r="E3" s="3" t="inlineStr">
        <is>
          <t>pct_meses_fuera</t>
        </is>
      </c>
      <c r="F3" s="3" t="inlineStr">
        <is>
          <t>desv_p95_abs</t>
        </is>
      </c>
      <c r="G3" s="3" t="inlineStr">
        <is>
          <t>n_afp_meses</t>
        </is>
      </c>
    </row>
    <row r="4">
      <c r="A4" s="4" t="inlineStr">
        <is>
          <t>A</t>
        </is>
      </c>
      <c r="B4" s="22" t="n">
        <v>0.01</v>
      </c>
      <c r="C4" s="22" t="n">
        <v>0.01456310679611651</v>
      </c>
      <c r="D4" s="22" t="n">
        <v>0.02565880721220527</v>
      </c>
      <c r="E4" s="22" t="n">
        <v>0.04022191400832178</v>
      </c>
      <c r="F4" s="22" t="n">
        <v>0.00947527389853936</v>
      </c>
      <c r="G4" s="14" t="n">
        <v>1442</v>
      </c>
    </row>
    <row r="5">
      <c r="A5" s="4" t="inlineStr">
        <is>
          <t>A</t>
        </is>
      </c>
      <c r="B5" s="22" t="n">
        <v>0.015</v>
      </c>
      <c r="C5" s="22" t="n">
        <v>0</v>
      </c>
      <c r="D5" s="22" t="n">
        <v>0.01386962552011096</v>
      </c>
      <c r="E5" s="22" t="n">
        <v>0.01386962552011096</v>
      </c>
      <c r="F5" s="22" t="n">
        <v>0.00947527389853936</v>
      </c>
      <c r="G5" s="14" t="n">
        <v>1442</v>
      </c>
    </row>
    <row r="6">
      <c r="A6" s="4" t="inlineStr">
        <is>
          <t>A</t>
        </is>
      </c>
      <c r="B6" s="22" t="n">
        <v>0.02</v>
      </c>
      <c r="C6" s="22" t="n">
        <v>0</v>
      </c>
      <c r="D6" s="22" t="n">
        <v>0.01386962552011096</v>
      </c>
      <c r="E6" s="22" t="n">
        <v>0.01386962552011096</v>
      </c>
      <c r="F6" s="22" t="n">
        <v>0.00947527389853936</v>
      </c>
      <c r="G6" s="14" t="n">
        <v>1442</v>
      </c>
    </row>
    <row r="7">
      <c r="A7" s="4" t="inlineStr">
        <is>
          <t>A</t>
        </is>
      </c>
      <c r="B7" s="22" t="n">
        <v>0.024</v>
      </c>
      <c r="C7" s="22" t="n">
        <v>0</v>
      </c>
      <c r="D7" s="22" t="n">
        <v>0.01178918169209431</v>
      </c>
      <c r="E7" s="22" t="n">
        <v>0.01178918169209431</v>
      </c>
      <c r="F7" s="22" t="n">
        <v>0.00947527389853936</v>
      </c>
      <c r="G7" s="14" t="n">
        <v>1442</v>
      </c>
    </row>
    <row r="8">
      <c r="A8" s="4" t="inlineStr">
        <is>
          <t>A</t>
        </is>
      </c>
      <c r="B8" s="22" t="n">
        <v>0.029</v>
      </c>
      <c r="C8" s="22" t="n">
        <v>0</v>
      </c>
      <c r="D8" s="22" t="n">
        <v>0.002080443828016643</v>
      </c>
      <c r="E8" s="22" t="n">
        <v>0.002080443828016643</v>
      </c>
      <c r="F8" s="22" t="n">
        <v>0.00947527389853936</v>
      </c>
      <c r="G8" s="14" t="n">
        <v>1442</v>
      </c>
    </row>
    <row r="9">
      <c r="A9" s="4" t="inlineStr">
        <is>
          <t>A</t>
        </is>
      </c>
      <c r="B9" s="22" t="n">
        <v>0.04</v>
      </c>
      <c r="C9" s="22" t="n">
        <v>0</v>
      </c>
      <c r="D9" s="22" t="n">
        <v>0</v>
      </c>
      <c r="E9" s="22" t="n">
        <v>0</v>
      </c>
      <c r="F9" s="22" t="n">
        <v>0.00947527389853936</v>
      </c>
      <c r="G9" s="14" t="n">
        <v>1442</v>
      </c>
    </row>
    <row r="10">
      <c r="A10" s="4" t="inlineStr">
        <is>
          <t>B</t>
        </is>
      </c>
      <c r="B10" s="22" t="n">
        <v>0.01</v>
      </c>
      <c r="C10" s="22" t="n">
        <v>0.007628294036061026</v>
      </c>
      <c r="D10" s="22" t="n">
        <v>0</v>
      </c>
      <c r="E10" s="22" t="n">
        <v>0.007628294036061026</v>
      </c>
      <c r="F10" s="22" t="n">
        <v>0.008009025084765541</v>
      </c>
      <c r="G10" s="14" t="n">
        <v>1442</v>
      </c>
    </row>
    <row r="11">
      <c r="A11" s="4" t="inlineStr">
        <is>
          <t>B</t>
        </is>
      </c>
      <c r="B11" s="22" t="n">
        <v>0.015</v>
      </c>
      <c r="C11" s="22" t="n">
        <v>0</v>
      </c>
      <c r="D11" s="22" t="n">
        <v>0</v>
      </c>
      <c r="E11" s="22" t="n">
        <v>0</v>
      </c>
      <c r="F11" s="22" t="n">
        <v>0.008009025084765541</v>
      </c>
      <c r="G11" s="14" t="n">
        <v>1442</v>
      </c>
    </row>
    <row r="12">
      <c r="A12" s="4" t="inlineStr">
        <is>
          <t>B</t>
        </is>
      </c>
      <c r="B12" s="22" t="n">
        <v>0.02</v>
      </c>
      <c r="C12" s="22" t="n">
        <v>0</v>
      </c>
      <c r="D12" s="22" t="n">
        <v>0</v>
      </c>
      <c r="E12" s="22" t="n">
        <v>0</v>
      </c>
      <c r="F12" s="22" t="n">
        <v>0.008009025084765541</v>
      </c>
      <c r="G12" s="14" t="n">
        <v>1442</v>
      </c>
    </row>
    <row r="13">
      <c r="A13" s="4" t="inlineStr">
        <is>
          <t>B</t>
        </is>
      </c>
      <c r="B13" s="22" t="n">
        <v>0.024</v>
      </c>
      <c r="C13" s="22" t="n">
        <v>0</v>
      </c>
      <c r="D13" s="22" t="n">
        <v>0</v>
      </c>
      <c r="E13" s="22" t="n">
        <v>0</v>
      </c>
      <c r="F13" s="22" t="n">
        <v>0.008009025084765541</v>
      </c>
      <c r="G13" s="14" t="n">
        <v>1442</v>
      </c>
    </row>
    <row r="14">
      <c r="A14" s="4" t="inlineStr">
        <is>
          <t>B</t>
        </is>
      </c>
      <c r="B14" s="22" t="n">
        <v>0.029</v>
      </c>
      <c r="C14" s="22" t="n">
        <v>0</v>
      </c>
      <c r="D14" s="22" t="n">
        <v>0</v>
      </c>
      <c r="E14" s="22" t="n">
        <v>0</v>
      </c>
      <c r="F14" s="22" t="n">
        <v>0.008009025084765541</v>
      </c>
      <c r="G14" s="14" t="n">
        <v>1442</v>
      </c>
    </row>
    <row r="15">
      <c r="A15" s="4" t="inlineStr">
        <is>
          <t>B</t>
        </is>
      </c>
      <c r="B15" s="22" t="n">
        <v>0.04</v>
      </c>
      <c r="C15" s="22" t="n">
        <v>0</v>
      </c>
      <c r="D15" s="22" t="n">
        <v>0</v>
      </c>
      <c r="E15" s="22" t="n">
        <v>0</v>
      </c>
      <c r="F15" s="22" t="n">
        <v>0.008009025084765541</v>
      </c>
      <c r="G15" s="14" t="n">
        <v>1442</v>
      </c>
    </row>
    <row r="16">
      <c r="A16" s="4" t="inlineStr">
        <is>
          <t>C</t>
        </is>
      </c>
      <c r="B16" s="22" t="n">
        <v>0.01</v>
      </c>
      <c r="C16" s="22" t="n">
        <v>0.01386962552011096</v>
      </c>
      <c r="D16" s="22" t="n">
        <v>0.0006934812760055479</v>
      </c>
      <c r="E16" s="22" t="n">
        <v>0.01456310679611651</v>
      </c>
      <c r="F16" s="22" t="n">
        <v>0.007973251806372218</v>
      </c>
      <c r="G16" s="14" t="n">
        <v>1442</v>
      </c>
    </row>
    <row r="17">
      <c r="A17" s="4" t="inlineStr">
        <is>
          <t>C</t>
        </is>
      </c>
      <c r="B17" s="22" t="n">
        <v>0.015</v>
      </c>
      <c r="C17" s="22" t="n">
        <v>0</v>
      </c>
      <c r="D17" s="22" t="n">
        <v>0</v>
      </c>
      <c r="E17" s="22" t="n">
        <v>0</v>
      </c>
      <c r="F17" s="22" t="n">
        <v>0.007973251806372218</v>
      </c>
      <c r="G17" s="14" t="n">
        <v>1442</v>
      </c>
    </row>
    <row r="18">
      <c r="A18" s="4" t="inlineStr">
        <is>
          <t>C</t>
        </is>
      </c>
      <c r="B18" s="22" t="n">
        <v>0.02</v>
      </c>
      <c r="C18" s="22" t="n">
        <v>0</v>
      </c>
      <c r="D18" s="22" t="n">
        <v>0</v>
      </c>
      <c r="E18" s="22" t="n">
        <v>0</v>
      </c>
      <c r="F18" s="22" t="n">
        <v>0.007973251806372218</v>
      </c>
      <c r="G18" s="14" t="n">
        <v>1442</v>
      </c>
    </row>
    <row r="19">
      <c r="A19" s="4" t="inlineStr">
        <is>
          <t>C</t>
        </is>
      </c>
      <c r="B19" s="22" t="n">
        <v>0.024</v>
      </c>
      <c r="C19" s="22" t="n">
        <v>0</v>
      </c>
      <c r="D19" s="22" t="n">
        <v>0</v>
      </c>
      <c r="E19" s="22" t="n">
        <v>0</v>
      </c>
      <c r="F19" s="22" t="n">
        <v>0.007973251806372218</v>
      </c>
      <c r="G19" s="14" t="n">
        <v>1442</v>
      </c>
    </row>
    <row r="20">
      <c r="A20" s="4" t="inlineStr">
        <is>
          <t>C</t>
        </is>
      </c>
      <c r="B20" s="22" t="n">
        <v>0.029</v>
      </c>
      <c r="C20" s="22" t="n">
        <v>0</v>
      </c>
      <c r="D20" s="22" t="n">
        <v>0</v>
      </c>
      <c r="E20" s="22" t="n">
        <v>0</v>
      </c>
      <c r="F20" s="22" t="n">
        <v>0.007973251806372218</v>
      </c>
      <c r="G20" s="14" t="n">
        <v>1442</v>
      </c>
    </row>
    <row r="21">
      <c r="A21" s="4" t="inlineStr">
        <is>
          <t>C</t>
        </is>
      </c>
      <c r="B21" s="22" t="n">
        <v>0.04</v>
      </c>
      <c r="C21" s="22" t="n">
        <v>0</v>
      </c>
      <c r="D21" s="22" t="n">
        <v>0</v>
      </c>
      <c r="E21" s="22" t="n">
        <v>0</v>
      </c>
      <c r="F21" s="22" t="n">
        <v>0.007973251806372218</v>
      </c>
      <c r="G21" s="14" t="n">
        <v>1442</v>
      </c>
    </row>
    <row r="22">
      <c r="A22" s="4" t="inlineStr">
        <is>
          <t>D</t>
        </is>
      </c>
      <c r="B22" s="22" t="n">
        <v>0.01</v>
      </c>
      <c r="C22" s="22" t="n">
        <v>0.008321775312066574</v>
      </c>
      <c r="D22" s="22" t="n">
        <v>0</v>
      </c>
      <c r="E22" s="22" t="n">
        <v>0.008321775312066574</v>
      </c>
      <c r="F22" s="22" t="n">
        <v>0.007400368503809655</v>
      </c>
      <c r="G22" s="14" t="n">
        <v>1442</v>
      </c>
    </row>
    <row r="23">
      <c r="A23" s="4" t="inlineStr">
        <is>
          <t>D</t>
        </is>
      </c>
      <c r="B23" s="22" t="n">
        <v>0.015</v>
      </c>
      <c r="C23" s="22" t="n">
        <v>0</v>
      </c>
      <c r="D23" s="22" t="n">
        <v>0</v>
      </c>
      <c r="E23" s="22" t="n">
        <v>0</v>
      </c>
      <c r="F23" s="22" t="n">
        <v>0.007400368503809655</v>
      </c>
      <c r="G23" s="14" t="n">
        <v>1442</v>
      </c>
    </row>
    <row r="24">
      <c r="A24" s="4" t="inlineStr">
        <is>
          <t>D</t>
        </is>
      </c>
      <c r="B24" s="22" t="n">
        <v>0.02</v>
      </c>
      <c r="C24" s="22" t="n">
        <v>0</v>
      </c>
      <c r="D24" s="22" t="n">
        <v>0</v>
      </c>
      <c r="E24" s="22" t="n">
        <v>0</v>
      </c>
      <c r="F24" s="22" t="n">
        <v>0.007400368503809655</v>
      </c>
      <c r="G24" s="14" t="n">
        <v>1442</v>
      </c>
    </row>
    <row r="25">
      <c r="A25" s="4" t="inlineStr">
        <is>
          <t>D</t>
        </is>
      </c>
      <c r="B25" s="22" t="n">
        <v>0.024</v>
      </c>
      <c r="C25" s="22" t="n">
        <v>0</v>
      </c>
      <c r="D25" s="22" t="n">
        <v>0</v>
      </c>
      <c r="E25" s="22" t="n">
        <v>0</v>
      </c>
      <c r="F25" s="22" t="n">
        <v>0.007400368503809655</v>
      </c>
      <c r="G25" s="14" t="n">
        <v>1442</v>
      </c>
    </row>
    <row r="26">
      <c r="A26" s="4" t="inlineStr">
        <is>
          <t>D</t>
        </is>
      </c>
      <c r="B26" s="22" t="n">
        <v>0.029</v>
      </c>
      <c r="C26" s="22" t="n">
        <v>0</v>
      </c>
      <c r="D26" s="22" t="n">
        <v>0</v>
      </c>
      <c r="E26" s="22" t="n">
        <v>0</v>
      </c>
      <c r="F26" s="22" t="n">
        <v>0.007400368503809655</v>
      </c>
      <c r="G26" s="14" t="n">
        <v>1442</v>
      </c>
    </row>
    <row r="27">
      <c r="A27" s="4" t="inlineStr">
        <is>
          <t>D</t>
        </is>
      </c>
      <c r="B27" s="22" t="n">
        <v>0.04</v>
      </c>
      <c r="C27" s="22" t="n">
        <v>0</v>
      </c>
      <c r="D27" s="22" t="n">
        <v>0</v>
      </c>
      <c r="E27" s="22" t="n">
        <v>0</v>
      </c>
      <c r="F27" s="22" t="n">
        <v>0.007400368503809655</v>
      </c>
      <c r="G27" s="14" t="n">
        <v>1442</v>
      </c>
    </row>
    <row r="28">
      <c r="A28" s="4" t="inlineStr">
        <is>
          <t>E</t>
        </is>
      </c>
      <c r="B28" s="22" t="n">
        <v>0.01</v>
      </c>
      <c r="C28" s="22" t="n">
        <v>0.009015256588072122</v>
      </c>
      <c r="D28" s="22" t="n">
        <v>0.01317614424410541</v>
      </c>
      <c r="E28" s="22" t="n">
        <v>0.02219140083217753</v>
      </c>
      <c r="F28" s="22" t="n">
        <v>0.008739777602868282</v>
      </c>
      <c r="G28" s="14" t="n">
        <v>1442</v>
      </c>
    </row>
    <row r="29">
      <c r="A29" s="4" t="inlineStr">
        <is>
          <t>E</t>
        </is>
      </c>
      <c r="B29" s="22" t="n">
        <v>0.015</v>
      </c>
      <c r="C29" s="22" t="n">
        <v>0</v>
      </c>
      <c r="D29" s="22" t="n">
        <v>0</v>
      </c>
      <c r="E29" s="22" t="n">
        <v>0</v>
      </c>
      <c r="F29" s="22" t="n">
        <v>0.008739777602868282</v>
      </c>
      <c r="G29" s="14" t="n">
        <v>1442</v>
      </c>
    </row>
    <row r="30">
      <c r="A30" s="4" t="inlineStr">
        <is>
          <t>E</t>
        </is>
      </c>
      <c r="B30" s="22" t="n">
        <v>0.02</v>
      </c>
      <c r="C30" s="22" t="n">
        <v>0</v>
      </c>
      <c r="D30" s="22" t="n">
        <v>0</v>
      </c>
      <c r="E30" s="22" t="n">
        <v>0</v>
      </c>
      <c r="F30" s="22" t="n">
        <v>0.008739777602868282</v>
      </c>
      <c r="G30" s="14" t="n">
        <v>1442</v>
      </c>
    </row>
    <row r="31">
      <c r="A31" s="4" t="inlineStr">
        <is>
          <t>E</t>
        </is>
      </c>
      <c r="B31" s="22" t="n">
        <v>0.024</v>
      </c>
      <c r="C31" s="22" t="n">
        <v>0</v>
      </c>
      <c r="D31" s="22" t="n">
        <v>0</v>
      </c>
      <c r="E31" s="22" t="n">
        <v>0</v>
      </c>
      <c r="F31" s="22" t="n">
        <v>0.008739777602868282</v>
      </c>
      <c r="G31" s="14" t="n">
        <v>1442</v>
      </c>
    </row>
    <row r="32">
      <c r="A32" s="4" t="inlineStr">
        <is>
          <t>E</t>
        </is>
      </c>
      <c r="B32" s="22" t="n">
        <v>0.029</v>
      </c>
      <c r="C32" s="22" t="n">
        <v>0</v>
      </c>
      <c r="D32" s="22" t="n">
        <v>0</v>
      </c>
      <c r="E32" s="22" t="n">
        <v>0</v>
      </c>
      <c r="F32" s="22" t="n">
        <v>0.008739777602868282</v>
      </c>
      <c r="G32" s="14" t="n">
        <v>1442</v>
      </c>
    </row>
    <row r="33">
      <c r="A33" s="4" t="inlineStr">
        <is>
          <t>E</t>
        </is>
      </c>
      <c r="B33" s="22" t="n">
        <v>0.04</v>
      </c>
      <c r="C33" s="22" t="n">
        <v>0</v>
      </c>
      <c r="D33" s="22" t="n">
        <v>0</v>
      </c>
      <c r="E33" s="22" t="n">
        <v>0</v>
      </c>
      <c r="F33" s="22" t="n">
        <v>0.008739777602868282</v>
      </c>
      <c r="G33" s="14" t="n">
        <v>1442</v>
      </c>
    </row>
    <row r="35">
      <c r="A35" s="2" t="inlineStr">
        <is>
          <t>Bandas oficiales: 240 a 290 p.b. anuales sobre la cartera de referencia (SP, Res. Ex. 1195, sep-2026).</t>
        </is>
      </c>
    </row>
    <row r="36">
      <c r="A36" s="2" t="inlineStr">
        <is>
          <t>Transición: banda de 400 p.b. (±4,0%) entre el 01-04-2028 y el 31-03-2031.</t>
        </is>
      </c>
    </row>
    <row r="37">
      <c r="A37" s="2" t="inlineStr">
        <is>
          <t>Proxy: la referencia oficial son índices de mercado, no el promedio de pares.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8" customWidth="1" min="4" max="4"/>
    <col width="20" customWidth="1" min="5" max="5"/>
    <col width="18" customWidth="1" min="6" max="6"/>
    <col width="16" customWidth="1" min="7" max="7"/>
    <col width="16" customWidth="1" min="8" max="8"/>
    <col width="14" customWidth="1" min="9" max="9"/>
  </cols>
  <sheetData>
    <row r="1">
      <c r="A1" s="21" t="inlineStr">
        <is>
          <t>Robustez: las conclusiones con 13 supuestos alternativos (10.000 escenarios por caso)</t>
        </is>
      </c>
    </row>
    <row r="3">
      <c r="A3" s="3" t="inlineStr">
        <is>
          <t>caso</t>
        </is>
      </c>
      <c r="B3" s="3" t="inlineStr">
        <is>
          <t>cv_vs_defecto_mediana</t>
        </is>
      </c>
      <c r="C3" s="3" t="inlineStr">
        <is>
          <t>cv_vs_defecto_p5</t>
        </is>
      </c>
      <c r="D3" s="3" t="inlineStr">
        <is>
          <t>prob_cv_supera_defecto</t>
        </is>
      </c>
      <c r="E3" s="3" t="inlineStr">
        <is>
          <t>reactivo_vs_defecto_mediana</t>
        </is>
      </c>
      <c r="F3" s="3" t="inlineStr">
        <is>
          <t>reactivo_vs_defecto_p5</t>
        </is>
      </c>
      <c r="G3" s="3" t="inlineStr">
        <is>
          <t>prob_reactivo_pierde</t>
        </is>
      </c>
      <c r="H3" s="3" t="inlineStr">
        <is>
          <t>mediana_defecto_uf</t>
        </is>
      </c>
      <c r="I3" s="3" t="inlineStr">
        <is>
          <t>traspasos_reactivo</t>
        </is>
      </c>
    </row>
    <row r="4">
      <c r="A4" s="4" t="inlineStr">
        <is>
          <t>Escenario base (hombre)</t>
        </is>
      </c>
      <c r="B4" s="22" t="n">
        <v>0.4555508071138099</v>
      </c>
      <c r="C4" s="22" t="n">
        <v>0.1948032549144638</v>
      </c>
      <c r="D4" s="22" t="n">
        <v>0.9253</v>
      </c>
      <c r="E4" s="22" t="n">
        <v>-0.04869997467840814</v>
      </c>
      <c r="F4" s="22" t="n">
        <v>-0.08277160345667756</v>
      </c>
      <c r="G4" s="22" t="n">
        <v>0.7389</v>
      </c>
      <c r="H4" s="25" t="n">
        <v>10.13995719853133</v>
      </c>
      <c r="I4" s="27" t="n">
        <v>15</v>
      </c>
    </row>
    <row r="5">
      <c r="A5" s="4" t="inlineStr">
        <is>
          <t>Mujer (retiro a los 60)</t>
        </is>
      </c>
      <c r="B5" s="22" t="n">
        <v>0.5137205802928042</v>
      </c>
      <c r="C5" s="22" t="n">
        <v>0.1991761454112415</v>
      </c>
      <c r="D5" s="22" t="n">
        <v>0.9117</v>
      </c>
      <c r="E5" s="22" t="n">
        <v>-0.03979625096766026</v>
      </c>
      <c r="F5" s="22" t="n">
        <v>-0.0697900998580675</v>
      </c>
      <c r="G5" s="22" t="n">
        <v>0.7321</v>
      </c>
      <c r="H5" s="25" t="n">
        <v>6.499996681666271</v>
      </c>
      <c r="I5" s="27" t="n">
        <v>14</v>
      </c>
    </row>
    <row r="6">
      <c r="A6" s="4" t="inlineStr">
        <is>
          <t>Sueldo sin crecimiento real</t>
        </is>
      </c>
      <c r="B6" s="22" t="n">
        <v>0.4877822419122306</v>
      </c>
      <c r="C6" s="22" t="n">
        <v>0.1982641462141754</v>
      </c>
      <c r="D6" s="22" t="n">
        <v>0.9245</v>
      </c>
      <c r="E6" s="22" t="n">
        <v>-0.05504013012854736</v>
      </c>
      <c r="F6" s="22" t="n">
        <v>-0.08753041630655378</v>
      </c>
      <c r="G6" s="22" t="n">
        <v>0.7388</v>
      </c>
      <c r="H6" s="25" t="n">
        <v>8.274093401764627</v>
      </c>
      <c r="I6" s="27" t="n">
        <v>15</v>
      </c>
    </row>
    <row r="7">
      <c r="A7" s="4" t="inlineStr">
        <is>
          <t>Sueldo crece 3% real/año</t>
        </is>
      </c>
      <c r="B7" s="22" t="n">
        <v>0.4170944202935771</v>
      </c>
      <c r="C7" s="22" t="n">
        <v>0.1922736168642618</v>
      </c>
      <c r="D7" s="22" t="n">
        <v>0.9258</v>
      </c>
      <c r="E7" s="22" t="n">
        <v>-0.04338654136962627</v>
      </c>
      <c r="F7" s="22" t="n">
        <v>-0.07810205274390802</v>
      </c>
      <c r="G7" s="22" t="n">
        <v>0.7382</v>
      </c>
      <c r="H7" s="25" t="n">
        <v>12.60807156593173</v>
      </c>
      <c r="I7" s="27" t="n">
        <v>15</v>
      </c>
    </row>
    <row r="8">
      <c r="A8" s="4" t="inlineStr">
        <is>
          <t>Empieza a cotizar a los 35</t>
        </is>
      </c>
      <c r="B8" s="22" t="n">
        <v>0.2758820257382439</v>
      </c>
      <c r="C8" s="22" t="n">
        <v>0.1794298881219962</v>
      </c>
      <c r="D8" s="22" t="n">
        <v>0.9095</v>
      </c>
      <c r="E8" s="22" t="n">
        <v>-0.0277717841114492</v>
      </c>
      <c r="F8" s="22" t="n">
        <v>-0.0548020321712982</v>
      </c>
      <c r="G8" s="22" t="n">
        <v>0.7082000000000001</v>
      </c>
      <c r="H8" s="25" t="n">
        <v>5.656558176842392</v>
      </c>
      <c r="I8" s="27" t="n">
        <v>10</v>
      </c>
    </row>
    <row r="9">
      <c r="A9" s="4" t="inlineStr">
        <is>
          <t>Retornos −1 p.p. al año</t>
        </is>
      </c>
      <c r="B9" s="22" t="n">
        <v>0.422603710686456</v>
      </c>
      <c r="C9" s="22" t="n">
        <v>0.1907133209875997</v>
      </c>
      <c r="D9" s="22" t="n">
        <v>0.9261</v>
      </c>
      <c r="E9" s="22" t="n">
        <v>-0.04733616867712509</v>
      </c>
      <c r="F9" s="22" t="n">
        <v>-0.08330233705480194</v>
      </c>
      <c r="G9" s="22" t="n">
        <v>0.7542</v>
      </c>
      <c r="H9" s="25" t="n">
        <v>8.045123813409147</v>
      </c>
      <c r="I9" s="27" t="n">
        <v>16</v>
      </c>
    </row>
    <row r="10">
      <c r="A10" s="4" t="inlineStr">
        <is>
          <t>Retornos −2 p.p. al año</t>
        </is>
      </c>
      <c r="B10" s="22" t="n">
        <v>0.3849199575479756</v>
      </c>
      <c r="C10" s="22" t="n">
        <v>0.1806317417628889</v>
      </c>
      <c r="D10" s="22" t="n">
        <v>0.9255</v>
      </c>
      <c r="E10" s="22" t="n">
        <v>-0.05285605900621559</v>
      </c>
      <c r="F10" s="22" t="n">
        <v>-0.08406923912996889</v>
      </c>
      <c r="G10" s="22" t="n">
        <v>0.7654</v>
      </c>
      <c r="H10" s="25" t="n">
        <v>6.468077221593549</v>
      </c>
      <c r="I10" s="27" t="n">
        <v>17</v>
      </c>
    </row>
    <row r="11">
      <c r="A11" s="4" t="inlineStr">
        <is>
          <t>Parte en régimen de calma</t>
        </is>
      </c>
      <c r="B11" s="22" t="n">
        <v>0.4390571157224739</v>
      </c>
      <c r="C11" s="22" t="n">
        <v>0.1807898521668421</v>
      </c>
      <c r="D11" s="22" t="n">
        <v>0.9194</v>
      </c>
      <c r="E11" s="22" t="n">
        <v>-0.04707965343007481</v>
      </c>
      <c r="F11" s="22" t="n">
        <v>-0.07913961740909092</v>
      </c>
      <c r="G11" s="22" t="n">
        <v>0.7281</v>
      </c>
      <c r="H11" s="25" t="n">
        <v>10.22508398113679</v>
      </c>
      <c r="I11" s="27" t="n">
        <v>15</v>
      </c>
    </row>
    <row r="12">
      <c r="A12" s="4" t="inlineStr">
        <is>
          <t>Parte en régimen de crisis</t>
        </is>
      </c>
      <c r="B12" s="22" t="n">
        <v>0.43270831822967</v>
      </c>
      <c r="C12" s="22" t="n">
        <v>0.1822557880679978</v>
      </c>
      <c r="D12" s="22" t="n">
        <v>0.9201</v>
      </c>
      <c r="E12" s="22" t="n">
        <v>-0.0473066408888746</v>
      </c>
      <c r="F12" s="22" t="n">
        <v>-0.07552883934227739</v>
      </c>
      <c r="G12" s="22" t="n">
        <v>0.7308</v>
      </c>
      <c r="H12" s="25" t="n">
        <v>10.19851351519529</v>
      </c>
      <c r="I12" s="27" t="n">
        <v>16</v>
      </c>
    </row>
    <row r="13">
      <c r="A13" s="4" t="inlineStr">
        <is>
          <t>Reactivo más nervioso (−4%)</t>
        </is>
      </c>
      <c r="B13" s="22" t="n">
        <v>0.4555508071138099</v>
      </c>
      <c r="C13" s="22" t="n">
        <v>0.1948032549144638</v>
      </c>
      <c r="D13" s="22" t="n">
        <v>0.9253</v>
      </c>
      <c r="E13" s="22" t="n">
        <v>-0.09653321488998223</v>
      </c>
      <c r="F13" s="22" t="n">
        <v>-0.1372676835576178</v>
      </c>
      <c r="G13" s="22" t="n">
        <v>0.8067</v>
      </c>
      <c r="H13" s="25" t="n">
        <v>10.13995719853133</v>
      </c>
      <c r="I13" s="27" t="n">
        <v>26</v>
      </c>
    </row>
    <row r="14">
      <c r="A14" s="4" t="inlineStr">
        <is>
          <t>Reactivo más tolerante (−10%)</t>
        </is>
      </c>
      <c r="B14" s="22" t="n">
        <v>0.4555508071138099</v>
      </c>
      <c r="C14" s="22" t="n">
        <v>0.1948032549144638</v>
      </c>
      <c r="D14" s="22" t="n">
        <v>0.9253</v>
      </c>
      <c r="E14" s="22" t="n">
        <v>-0.008713181678172699</v>
      </c>
      <c r="F14" s="22" t="n">
        <v>-0.01058589346602756</v>
      </c>
      <c r="G14" s="22" t="n">
        <v>0.5582</v>
      </c>
      <c r="H14" s="25" t="n">
        <v>10.13995719853133</v>
      </c>
      <c r="I14" s="27" t="n">
        <v>4</v>
      </c>
    </row>
    <row r="15">
      <c r="A15" s="4" t="inlineStr">
        <is>
          <t>Glidepath de la consulta (tope 90%)</t>
        </is>
      </c>
      <c r="B15" s="22" t="n">
        <v>0.4023167870585052</v>
      </c>
      <c r="C15" s="22" t="n">
        <v>0.1915863866661789</v>
      </c>
      <c r="D15" s="22" t="n">
        <v>0.9261</v>
      </c>
      <c r="E15" s="22" t="n">
        <v>-0.04869997467840814</v>
      </c>
      <c r="F15" s="22" t="n">
        <v>-0.08277160345667756</v>
      </c>
      <c r="G15" s="22" t="n">
        <v>0.7389</v>
      </c>
      <c r="H15" s="25" t="n">
        <v>10.13995719853133</v>
      </c>
      <c r="I15" s="27" t="n">
        <v>15</v>
      </c>
    </row>
    <row r="16">
      <c r="A16" s="4" t="inlineStr">
        <is>
          <t>Glidepath sin extrapolar (tope 100% A)</t>
        </is>
      </c>
      <c r="B16" s="22" t="n">
        <v>0.3965035383774622</v>
      </c>
      <c r="C16" s="22" t="n">
        <v>0.1868379223588081</v>
      </c>
      <c r="D16" s="22" t="n">
        <v>0.9207</v>
      </c>
      <c r="E16" s="22" t="n">
        <v>-0.04869997467840814</v>
      </c>
      <c r="F16" s="22" t="n">
        <v>-0.08277160345667756</v>
      </c>
      <c r="G16" s="22" t="n">
        <v>0.7389</v>
      </c>
      <c r="H16" s="25" t="n">
        <v>10.13995719853133</v>
      </c>
      <c r="I16" s="27" t="n">
        <v>15</v>
      </c>
    </row>
    <row r="18">
      <c r="A18" s="2" t="inlineStr">
        <is>
          <t>prob_* = fracción de escenarios en que, sobre la MISMA trayectoria de mercado, una estrategia supera o pierde frente a la otra.</t>
        </is>
      </c>
    </row>
    <row r="19">
      <c r="A19" s="2" t="inlineStr">
        <is>
          <t>Densidad y nivel de sueldo no cambian el ranking (la pensión es lineal en los aportes), por eso no están en la grilla.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8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21" t="inlineStr">
        <is>
          <t>Pensión bajo supuestos de mercado forward-looking (10.000 escenarios por caso)</t>
        </is>
      </c>
    </row>
    <row r="3">
      <c r="A3" s="3" t="inlineStr">
        <is>
          <t>escenario</t>
        </is>
      </c>
      <c r="B3" s="3" t="inlineStr">
        <is>
          <t>sexo</t>
        </is>
      </c>
      <c r="C3" s="3" t="inlineStr">
        <is>
          <t>retorno_real_A</t>
        </is>
      </c>
      <c r="D3" s="3" t="inlineStr">
        <is>
          <t>retorno_real_E</t>
        </is>
      </c>
      <c r="E3" s="3" t="inlineStr">
        <is>
          <t>cv_vs_defecto_mediana</t>
        </is>
      </c>
      <c r="F3" s="3" t="inlineStr">
        <is>
          <t>cv_vs_defecto_p5</t>
        </is>
      </c>
      <c r="G3" s="3" t="inlineStr">
        <is>
          <t>prob_cv_supera_defecto</t>
        </is>
      </c>
      <c r="H3" s="3" t="inlineStr">
        <is>
          <t>reactivo_vs_defecto_mediana</t>
        </is>
      </c>
      <c r="I3" s="3" t="inlineStr">
        <is>
          <t>mediana_defecto_uf</t>
        </is>
      </c>
      <c r="J3" s="3" t="inlineStr">
        <is>
          <t>mediana_cv_uf</t>
        </is>
      </c>
      <c r="K3" s="3" t="inlineStr">
        <is>
          <t>prob_tr_meta_defecto</t>
        </is>
      </c>
      <c r="L3" s="3" t="inlineStr">
        <is>
          <t>prob_tr_meta_cv</t>
        </is>
      </c>
    </row>
    <row r="4">
      <c r="A4" s="4" t="inlineStr">
        <is>
          <t>Histórico 2002-2026</t>
        </is>
      </c>
      <c r="B4" s="4" t="inlineStr">
        <is>
          <t>H</t>
        </is>
      </c>
      <c r="C4" s="28" t="n"/>
      <c r="D4" s="28" t="n"/>
      <c r="E4" s="22" t="n">
        <v>0.4555508071138099</v>
      </c>
      <c r="F4" s="22" t="n">
        <v>0.1948032549144638</v>
      </c>
      <c r="G4" s="22" t="n">
        <v>0.9253</v>
      </c>
      <c r="H4" s="22" t="n">
        <v>-0.04869997467840814</v>
      </c>
      <c r="I4" s="25" t="n">
        <v>10.13995719853133</v>
      </c>
      <c r="J4" s="25" t="n">
        <v>14.75922288442176</v>
      </c>
      <c r="K4" s="22" t="n">
        <v>0.1313</v>
      </c>
      <c r="L4" s="22" t="n">
        <v>0.5115</v>
      </c>
    </row>
    <row r="5">
      <c r="A5" s="4" t="inlineStr">
        <is>
          <t>Histórico 2002-2026</t>
        </is>
      </c>
      <c r="B5" s="4" t="inlineStr">
        <is>
          <t>M</t>
        </is>
      </c>
      <c r="C5" s="28" t="n"/>
      <c r="D5" s="28" t="n"/>
      <c r="E5" s="22" t="n">
        <v>0.5137205802928042</v>
      </c>
      <c r="F5" s="22" t="n">
        <v>0.1991761454112415</v>
      </c>
      <c r="G5" s="22" t="n">
        <v>0.9117</v>
      </c>
      <c r="H5" s="22" t="n">
        <v>-0.03979625096766026</v>
      </c>
      <c r="I5" s="25" t="n">
        <v>6.499996681666271</v>
      </c>
      <c r="J5" s="25" t="n">
        <v>9.83917874887317</v>
      </c>
      <c r="K5" s="22" t="n">
        <v>0.0019</v>
      </c>
      <c r="L5" s="22" t="n">
        <v>0.201</v>
      </c>
    </row>
    <row r="6">
      <c r="A6" s="4" t="inlineStr">
        <is>
          <t>Consenso de mercado 2026</t>
        </is>
      </c>
      <c r="B6" s="4" t="inlineStr">
        <is>
          <t>H</t>
        </is>
      </c>
      <c r="C6" s="22" t="n">
        <v>0.0406912</v>
      </c>
      <c r="D6" s="22" t="n">
        <v>0.0267416</v>
      </c>
      <c r="E6" s="22" t="n">
        <v>0.1190931871575194</v>
      </c>
      <c r="F6" s="22" t="n">
        <v>-0.02394014194422034</v>
      </c>
      <c r="G6" s="22" t="n">
        <v>0.6841</v>
      </c>
      <c r="H6" s="22" t="n">
        <v>-0.01204542484207116</v>
      </c>
      <c r="I6" s="25" t="n">
        <v>9.738421898722411</v>
      </c>
      <c r="J6" s="25" t="n">
        <v>10.89820160052584</v>
      </c>
      <c r="K6" s="22" t="n">
        <v>0.1022</v>
      </c>
      <c r="L6" s="22" t="n">
        <v>0.2542</v>
      </c>
    </row>
    <row r="7">
      <c r="A7" s="4" t="inlineStr">
        <is>
          <t>Consenso de mercado 2026</t>
        </is>
      </c>
      <c r="B7" s="4" t="inlineStr">
        <is>
          <t>M</t>
        </is>
      </c>
      <c r="C7" s="22" t="n">
        <v>0.0406912</v>
      </c>
      <c r="D7" s="22" t="n">
        <v>0.0267416</v>
      </c>
      <c r="E7" s="22" t="n">
        <v>0.1335898793871808</v>
      </c>
      <c r="F7" s="22" t="n">
        <v>-0.04966327512052293</v>
      </c>
      <c r="G7" s="22" t="n">
        <v>0.6783</v>
      </c>
      <c r="H7" s="22" t="n">
        <v>-0.008889820052732977</v>
      </c>
      <c r="I7" s="25" t="n">
        <v>6.299769863417148</v>
      </c>
      <c r="J7" s="25" t="n">
        <v>7.141355359638041</v>
      </c>
      <c r="K7" s="22" t="n">
        <v>0.0009</v>
      </c>
      <c r="L7" s="22" t="n">
        <v>0.0544</v>
      </c>
    </row>
    <row r="8">
      <c r="A8" s="4" t="inlineStr">
        <is>
          <t>Prima de crecimiento nula</t>
        </is>
      </c>
      <c r="B8" s="4" t="inlineStr">
        <is>
          <t>H</t>
        </is>
      </c>
      <c r="C8" s="22" t="n">
        <v>0.0252</v>
      </c>
      <c r="D8" s="22" t="n">
        <v>0.0252</v>
      </c>
      <c r="E8" s="22" t="n">
        <v>-0.01255866067921274</v>
      </c>
      <c r="F8" s="22" t="n">
        <v>-0.1023532665516621</v>
      </c>
      <c r="G8" s="22" t="n">
        <v>0.4908</v>
      </c>
      <c r="H8" s="22" t="n">
        <v>0.01066900369699697</v>
      </c>
      <c r="I8" s="25" t="n">
        <v>8.396703186174204</v>
      </c>
      <c r="J8" s="25" t="n">
        <v>8.291251840034978</v>
      </c>
      <c r="K8" s="22" t="n">
        <v>0.0338</v>
      </c>
      <c r="L8" s="22" t="n">
        <v>0.0857</v>
      </c>
    </row>
    <row r="9">
      <c r="A9" s="4" t="inlineStr">
        <is>
          <t>Prima de crecimiento nula</t>
        </is>
      </c>
      <c r="B9" s="4" t="inlineStr">
        <is>
          <t>M</t>
        </is>
      </c>
      <c r="C9" s="22" t="n">
        <v>0.0252</v>
      </c>
      <c r="D9" s="22" t="n">
        <v>0.0252</v>
      </c>
      <c r="E9" s="22" t="n">
        <v>-0.01657780493915317</v>
      </c>
      <c r="F9" s="22" t="n">
        <v>-0.141471911600984</v>
      </c>
      <c r="G9" s="22" t="n">
        <v>0.4855</v>
      </c>
      <c r="H9" s="22" t="n">
        <v>0.01044566503325273</v>
      </c>
      <c r="I9" s="25" t="n">
        <v>5.566031282850445</v>
      </c>
      <c r="J9" s="25" t="n">
        <v>5.473758701958126</v>
      </c>
      <c r="K9" s="22" t="n">
        <v>0.0002</v>
      </c>
      <c r="L9" s="22" t="n">
        <v>0.0108</v>
      </c>
    </row>
    <row r="11">
      <c r="A11" s="2" t="inlineStr">
        <is>
          <t>Cada fondo se recentra en r = g·r_crecimiento + (1−g)·r_protección, con g = activos de crecimiento del fondo.</t>
        </is>
      </c>
    </row>
    <row r="12">
      <c r="A12" s="2" t="inlineStr">
        <is>
          <t>Consenso 2026: protección 2,52% real (bono en UF a 10 años, BCCh); crecimiento 4,4% real (MSCI ACWI, J.P. Morgan LTCMA 2026).</t>
        </is>
      </c>
    </row>
    <row r="13">
      <c r="A13" s="2" t="inlineStr">
        <is>
          <t>Se conservan regímenes, volatilidades, colas y correlaciones históricas: solo cambia el retorno esperado.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21" t="inlineStr">
        <is>
          <t>Pensión total con la reforma (Ley 21.735): capas acumuladas, supuestos de consenso 2026 (UF de hoy)</t>
        </is>
      </c>
    </row>
    <row r="3">
      <c r="A3" s="3" t="inlineStr">
        <is>
          <t>sexo</t>
        </is>
      </c>
      <c r="B3" s="3" t="inlineStr">
        <is>
          <t>estrategia</t>
        </is>
      </c>
      <c r="C3" s="3" t="inlineStr">
        <is>
          <t>capa</t>
        </is>
      </c>
      <c r="D3" s="3" t="inlineStr">
        <is>
          <t>p5</t>
        </is>
      </c>
      <c r="E3" s="3" t="inlineStr">
        <is>
          <t>mediana</t>
        </is>
      </c>
      <c r="F3" s="3" t="inlineStr">
        <is>
          <t>p95</t>
        </is>
      </c>
      <c r="G3" s="3" t="inlineStr">
        <is>
          <t>tasa_reemplazo_mediana</t>
        </is>
      </c>
      <c r="H3" s="3" t="inlineStr">
        <is>
          <t>prob_tr_meta</t>
        </is>
      </c>
    </row>
    <row r="4">
      <c r="A4" s="4" t="inlineStr">
        <is>
          <t>H</t>
        </is>
      </c>
      <c r="B4" s="4" t="inlineStr">
        <is>
          <t>Por defecto (ley)</t>
        </is>
      </c>
      <c r="C4" s="4" t="inlineStr">
        <is>
          <t>Solo 10% del trabajador</t>
        </is>
      </c>
      <c r="D4" s="25" t="n">
        <v>5.839722702869804</v>
      </c>
      <c r="E4" s="25" t="n">
        <v>9.738421898722411</v>
      </c>
      <c r="F4" s="25" t="n">
        <v>16.28288792490609</v>
      </c>
      <c r="G4" s="22" t="n">
        <v>0.2684710866925683</v>
      </c>
      <c r="H4" s="22" t="n">
        <v>0.1022</v>
      </c>
    </row>
    <row r="5">
      <c r="A5" s="4" t="inlineStr">
        <is>
          <t>H</t>
        </is>
      </c>
      <c r="B5" s="4" t="inlineStr">
        <is>
          <t>Por defecto (ley)</t>
        </is>
      </c>
      <c r="C5" s="4" t="inlineStr">
        <is>
          <t>+ cotización del empleador</t>
        </is>
      </c>
      <c r="D5" s="25" t="n">
        <v>8.418152002302595</v>
      </c>
      <c r="E5" s="25" t="n">
        <v>13.81534286761175</v>
      </c>
      <c r="F5" s="25" t="n">
        <v>22.63814266675169</v>
      </c>
      <c r="G5" s="22" t="n">
        <v>0.380864595031022</v>
      </c>
      <c r="H5" s="22" t="n">
        <v>0.4374</v>
      </c>
    </row>
    <row r="6">
      <c r="A6" s="4" t="inlineStr">
        <is>
          <t>H</t>
        </is>
      </c>
      <c r="B6" s="4" t="inlineStr">
        <is>
          <t>Por defecto (ley)</t>
        </is>
      </c>
      <c r="C6" s="4" t="inlineStr">
        <is>
          <t>+ rentabilidad protegida</t>
        </is>
      </c>
      <c r="D6" s="25" t="n">
        <v>9.183865868763188</v>
      </c>
      <c r="E6" s="25" t="n">
        <v>14.58105673407234</v>
      </c>
      <c r="F6" s="25" t="n">
        <v>23.40385653321228</v>
      </c>
      <c r="G6" s="22" t="n">
        <v>0.4019739735280877</v>
      </c>
      <c r="H6" s="22" t="n">
        <v>0.5062</v>
      </c>
    </row>
    <row r="7">
      <c r="A7" s="4" t="inlineStr">
        <is>
          <t>H</t>
        </is>
      </c>
      <c r="B7" s="4" t="inlineStr">
        <is>
          <t>Por defecto (ley)</t>
        </is>
      </c>
      <c r="C7" s="4" t="inlineStr">
        <is>
          <t>+ PGU (pensión total)</t>
        </is>
      </c>
      <c r="D7" s="25" t="n">
        <v>15.4874663070117</v>
      </c>
      <c r="E7" s="25" t="n">
        <v>20.88465717232086</v>
      </c>
      <c r="F7" s="25" t="n">
        <v>27.80227090998295</v>
      </c>
      <c r="G7" s="22" t="n">
        <v>0.5757531009198006</v>
      </c>
      <c r="H7" s="22" t="n">
        <v>0.9798</v>
      </c>
    </row>
    <row r="8">
      <c r="A8" s="4" t="inlineStr">
        <is>
          <t>H</t>
        </is>
      </c>
      <c r="B8" s="4" t="inlineStr">
        <is>
          <t>Ciclo de vida (aprox. FG)</t>
        </is>
      </c>
      <c r="C8" s="4" t="inlineStr">
        <is>
          <t>Solo 10% del trabajador</t>
        </is>
      </c>
      <c r="D8" s="25" t="n">
        <v>5.699918912448215</v>
      </c>
      <c r="E8" s="25" t="n">
        <v>10.89820160052584</v>
      </c>
      <c r="F8" s="25" t="n">
        <v>22.7324423449607</v>
      </c>
      <c r="G8" s="22" t="n">
        <v>0.3004441640664289</v>
      </c>
      <c r="H8" s="22" t="n">
        <v>0.2542</v>
      </c>
    </row>
    <row r="9">
      <c r="A9" s="4" t="inlineStr">
        <is>
          <t>H</t>
        </is>
      </c>
      <c r="B9" s="4" t="inlineStr">
        <is>
          <t>Ciclo de vida (aprox. FG)</t>
        </is>
      </c>
      <c r="C9" s="4" t="inlineStr">
        <is>
          <t>+ cotización del empleador</t>
        </is>
      </c>
      <c r="D9" s="25" t="n">
        <v>8.292079938934828</v>
      </c>
      <c r="E9" s="25" t="n">
        <v>15.31046702704942</v>
      </c>
      <c r="F9" s="25" t="n">
        <v>30.8519879078192</v>
      </c>
      <c r="G9" s="22" t="n">
        <v>0.4220825266424266</v>
      </c>
      <c r="H9" s="22" t="n">
        <v>0.5534</v>
      </c>
    </row>
    <row r="10">
      <c r="A10" s="4" t="inlineStr">
        <is>
          <t>H</t>
        </is>
      </c>
      <c r="B10" s="4" t="inlineStr">
        <is>
          <t>Ciclo de vida (aprox. FG)</t>
        </is>
      </c>
      <c r="C10" s="4" t="inlineStr">
        <is>
          <t>+ rentabilidad protegida</t>
        </is>
      </c>
      <c r="D10" s="25" t="n">
        <v>9.057793805395422</v>
      </c>
      <c r="E10" s="25" t="n">
        <v>16.07618089351001</v>
      </c>
      <c r="F10" s="25" t="n">
        <v>31.6177017742798</v>
      </c>
      <c r="G10" s="22" t="n">
        <v>0.4431919051394922</v>
      </c>
      <c r="H10" s="22" t="n">
        <v>0.6065</v>
      </c>
    </row>
    <row r="11">
      <c r="A11" s="4" t="inlineStr">
        <is>
          <t>H</t>
        </is>
      </c>
      <c r="B11" s="4" t="inlineStr">
        <is>
          <t>Ciclo de vida (aprox. FG)</t>
        </is>
      </c>
      <c r="C11" s="4" t="inlineStr">
        <is>
          <t>+ PGU (pensión total)</t>
        </is>
      </c>
      <c r="D11" s="25" t="n">
        <v>15.36139424364394</v>
      </c>
      <c r="E11" s="25" t="n">
        <v>22.37978133175853</v>
      </c>
      <c r="F11" s="25" t="n">
        <v>31.6177017742798</v>
      </c>
      <c r="G11" s="22" t="n">
        <v>0.6169710325312051</v>
      </c>
      <c r="H11" s="22" t="n">
        <v>0.9766</v>
      </c>
    </row>
    <row r="12">
      <c r="A12" s="4" t="inlineStr">
        <is>
          <t>M</t>
        </is>
      </c>
      <c r="B12" s="4" t="inlineStr">
        <is>
          <t>Por defecto (ley)</t>
        </is>
      </c>
      <c r="C12" s="4" t="inlineStr">
        <is>
          <t>Solo 10% del trabajador</t>
        </is>
      </c>
      <c r="D12" s="25" t="n">
        <v>3.885048758221369</v>
      </c>
      <c r="E12" s="25" t="n">
        <v>6.299769863417148</v>
      </c>
      <c r="F12" s="25" t="n">
        <v>10.07880475761453</v>
      </c>
      <c r="G12" s="22" t="n">
        <v>0.1736735252111615</v>
      </c>
      <c r="H12" s="22" t="n">
        <v>0.0009</v>
      </c>
    </row>
    <row r="13">
      <c r="A13" s="4" t="inlineStr">
        <is>
          <t>M</t>
        </is>
      </c>
      <c r="B13" s="4" t="inlineStr">
        <is>
          <t>Por defecto (ley)</t>
        </is>
      </c>
      <c r="C13" s="4" t="inlineStr">
        <is>
          <t>+ cotización del empleador</t>
        </is>
      </c>
      <c r="D13" s="25" t="n">
        <v>5.55684712339447</v>
      </c>
      <c r="E13" s="25" t="n">
        <v>8.847044098554148</v>
      </c>
      <c r="F13" s="25" t="n">
        <v>13.85461057598768</v>
      </c>
      <c r="G13" s="22" t="n">
        <v>0.2438973755560442</v>
      </c>
      <c r="H13" s="22" t="n">
        <v>0.0335</v>
      </c>
    </row>
    <row r="14">
      <c r="A14" s="4" t="inlineStr">
        <is>
          <t>M</t>
        </is>
      </c>
      <c r="B14" s="4" t="inlineStr">
        <is>
          <t>Por defecto (ley)</t>
        </is>
      </c>
      <c r="C14" s="4" t="inlineStr">
        <is>
          <t>+ rentabilidad protegida</t>
        </is>
      </c>
      <c r="D14" s="25" t="n">
        <v>6.117704471929141</v>
      </c>
      <c r="E14" s="25" t="n">
        <v>9.40790144708882</v>
      </c>
      <c r="F14" s="25" t="n">
        <v>14.41546792452235</v>
      </c>
      <c r="G14" s="22" t="n">
        <v>0.2593592217777991</v>
      </c>
      <c r="H14" s="22" t="n">
        <v>0.0475</v>
      </c>
    </row>
    <row r="15">
      <c r="A15" s="4" t="inlineStr">
        <is>
          <t>M</t>
        </is>
      </c>
      <c r="B15" s="4" t="inlineStr">
        <is>
          <t>Por defecto (ley)</t>
        </is>
      </c>
      <c r="C15" s="4" t="inlineStr">
        <is>
          <t>+ PGU (pensión total)</t>
        </is>
      </c>
      <c r="D15" s="25" t="n">
        <v>12.42130491017766</v>
      </c>
      <c r="E15" s="25" t="n">
        <v>15.71150188533734</v>
      </c>
      <c r="F15" s="25" t="n">
        <v>20.71906836277087</v>
      </c>
      <c r="G15" s="22" t="n">
        <v>0.433138349169512</v>
      </c>
      <c r="H15" s="22" t="n">
        <v>0.6962</v>
      </c>
    </row>
    <row r="16">
      <c r="A16" s="4" t="inlineStr">
        <is>
          <t>M</t>
        </is>
      </c>
      <c r="B16" s="4" t="inlineStr">
        <is>
          <t>Ciclo de vida (aprox. FG)</t>
        </is>
      </c>
      <c r="C16" s="4" t="inlineStr">
        <is>
          <t>Solo 10% del trabajador</t>
        </is>
      </c>
      <c r="D16" s="25" t="n">
        <v>3.692104512885175</v>
      </c>
      <c r="E16" s="25" t="n">
        <v>7.141355359638041</v>
      </c>
      <c r="F16" s="25" t="n">
        <v>14.78860243300412</v>
      </c>
      <c r="G16" s="22" t="n">
        <v>0.1968745504968671</v>
      </c>
      <c r="H16" s="22" t="n">
        <v>0.0544</v>
      </c>
    </row>
    <row r="17">
      <c r="A17" s="4" t="inlineStr">
        <is>
          <t>M</t>
        </is>
      </c>
      <c r="B17" s="4" t="inlineStr">
        <is>
          <t>Ciclo de vida (aprox. FG)</t>
        </is>
      </c>
      <c r="C17" s="4" t="inlineStr">
        <is>
          <t>+ cotización del empleador</t>
        </is>
      </c>
      <c r="D17" s="25" t="n">
        <v>5.3167074723396</v>
      </c>
      <c r="E17" s="25" t="n">
        <v>9.933573226557268</v>
      </c>
      <c r="F17" s="25" t="n">
        <v>19.90311772943648</v>
      </c>
      <c r="G17" s="22" t="n">
        <v>0.2738510640234123</v>
      </c>
      <c r="H17" s="22" t="n">
        <v>0.1787</v>
      </c>
    </row>
    <row r="18">
      <c r="A18" s="4" t="inlineStr">
        <is>
          <t>M</t>
        </is>
      </c>
      <c r="B18" s="4" t="inlineStr">
        <is>
          <t>Ciclo de vida (aprox. FG)</t>
        </is>
      </c>
      <c r="C18" s="4" t="inlineStr">
        <is>
          <t>+ rentabilidad protegida</t>
        </is>
      </c>
      <c r="D18" s="25" t="n">
        <v>5.87756482087427</v>
      </c>
      <c r="E18" s="25" t="n">
        <v>10.49443057509194</v>
      </c>
      <c r="F18" s="25" t="n">
        <v>20.46397507797115</v>
      </c>
      <c r="G18" s="22" t="n">
        <v>0.2893129102451671</v>
      </c>
      <c r="H18" s="22" t="n">
        <v>0.2064</v>
      </c>
    </row>
    <row r="19">
      <c r="A19" s="4" t="inlineStr">
        <is>
          <t>M</t>
        </is>
      </c>
      <c r="B19" s="4" t="inlineStr">
        <is>
          <t>Ciclo de vida (aprox. FG)</t>
        </is>
      </c>
      <c r="C19" s="4" t="inlineStr">
        <is>
          <t>+ PGU (pensión total)</t>
        </is>
      </c>
      <c r="D19" s="25" t="n">
        <v>12.18116525912279</v>
      </c>
      <c r="E19" s="25" t="n">
        <v>16.79803101334046</v>
      </c>
      <c r="F19" s="25" t="n">
        <v>26.44995703016958</v>
      </c>
      <c r="G19" s="22" t="n">
        <v>0.4630920376368801</v>
      </c>
      <c r="H19" s="22" t="n">
        <v>0.7491</v>
      </c>
    </row>
    <row r="21">
      <c r="A21" s="2" t="inlineStr">
        <is>
          <t>Capas: 10% del trabajador; + cotización del empleador a la cuenta individual (0,1% → 6% según fecha); + Cotización con Rentabilidad Protegida (bono a 2,52% real); + PGU ($250.275 feb-2026, focalizada por pensión base).</t>
        </is>
      </c>
    </row>
    <row r="22">
      <c r="A22" s="2" t="inlineStr">
        <is>
          <t>Mujer: se pensiona a los 60 y recibe la PGU desde los 65. Supone que cumple la focalización (no es del 10% más rico).</t>
        </is>
      </c>
    </row>
    <row r="23">
      <c r="A23" s="2" t="inlineStr">
        <is>
          <t>Tasa de reemplazo = pensión / último sueldo imponible. Meta: 40%.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  <col width="17" customWidth="1" min="4" max="4"/>
    <col width="12" customWidth="1" min="5" max="5"/>
    <col width="12" customWidth="1" min="6" max="6"/>
    <col width="12" customWidth="1" min="7" max="7"/>
    <col width="24" customWidth="1" min="8" max="8"/>
    <col width="21" customWidth="1" min="9" max="9"/>
    <col width="12" customWidth="1" min="10" max="10"/>
  </cols>
  <sheetData>
    <row r="1">
      <c r="A1" s="21" t="inlineStr">
        <is>
          <t>Progresividad: pensión total mediana por nivel de sueldo (fondo por defecto, consenso 2026)</t>
        </is>
      </c>
    </row>
    <row r="3">
      <c r="A3" s="3" t="inlineStr">
        <is>
          <t>sueldo_inicial_uf</t>
        </is>
      </c>
      <c r="B3" s="3" t="inlineStr">
        <is>
          <t>sueldo_final_uf</t>
        </is>
      </c>
      <c r="C3" s="3" t="inlineStr">
        <is>
          <t>autofinanciada_10</t>
        </is>
      </c>
      <c r="D3" s="3" t="inlineStr">
        <is>
          <t>empleador_cci</t>
        </is>
      </c>
      <c r="E3" s="3" t="inlineStr">
        <is>
          <t>crp</t>
        </is>
      </c>
      <c r="F3" s="3" t="inlineStr">
        <is>
          <t>pgu</t>
        </is>
      </c>
      <c r="G3" s="3" t="inlineStr">
        <is>
          <t>total</t>
        </is>
      </c>
      <c r="H3" s="3" t="inlineStr">
        <is>
          <t>tasa_reemplazo_total</t>
        </is>
      </c>
      <c r="I3" s="3" t="inlineStr">
        <is>
          <t>tasa_reemplazo_10</t>
        </is>
      </c>
      <c r="J3" s="3" t="inlineStr">
        <is>
          <t>sexo</t>
        </is>
      </c>
    </row>
    <row r="4">
      <c r="A4" s="14" t="n">
        <v>15</v>
      </c>
      <c r="B4" s="25" t="n">
        <v>21.76418031161935</v>
      </c>
      <c r="C4" s="25" t="n">
        <v>5.786789754691971</v>
      </c>
      <c r="D4" s="25" t="n">
        <v>2.501554667283413</v>
      </c>
      <c r="E4" s="25" t="n">
        <v>0.4594283198763565</v>
      </c>
      <c r="F4" s="25" t="n">
        <v>6.303600438248517</v>
      </c>
      <c r="G4" s="25" t="n">
        <v>15.05137318010026</v>
      </c>
      <c r="H4" s="22" t="n">
        <v>0.6915662783801099</v>
      </c>
      <c r="I4" s="22" t="n">
        <v>0.2658859498422069</v>
      </c>
      <c r="J4" s="4" t="inlineStr">
        <is>
          <t>H</t>
        </is>
      </c>
    </row>
    <row r="5">
      <c r="A5" s="14" t="n">
        <v>25</v>
      </c>
      <c r="B5" s="25" t="n">
        <v>36.27363385269892</v>
      </c>
      <c r="C5" s="25" t="n">
        <v>9.644649591153307</v>
      </c>
      <c r="D5" s="25" t="n">
        <v>4.16925777880572</v>
      </c>
      <c r="E5" s="25" t="n">
        <v>0.765713866460594</v>
      </c>
      <c r="F5" s="25" t="n">
        <v>6.303600438248517</v>
      </c>
      <c r="G5" s="25" t="n">
        <v>20.88322167466814</v>
      </c>
      <c r="H5" s="22" t="n">
        <v>0.5757135267856361</v>
      </c>
      <c r="I5" s="22" t="n">
        <v>0.2658859498422075</v>
      </c>
      <c r="J5" s="4" t="inlineStr">
        <is>
          <t>H</t>
        </is>
      </c>
    </row>
    <row r="6">
      <c r="A6" s="14" t="n">
        <v>40</v>
      </c>
      <c r="B6" s="25" t="n">
        <v>58.03781416431828</v>
      </c>
      <c r="C6" s="25" t="n">
        <v>15.66654838500849</v>
      </c>
      <c r="D6" s="25" t="n">
        <v>6.440296999414378</v>
      </c>
      <c r="E6" s="25" t="n">
        <v>1.22514218633695</v>
      </c>
      <c r="F6" s="25" t="n">
        <v>4.437224388740966</v>
      </c>
      <c r="G6" s="25" t="n">
        <v>27.76921195950079</v>
      </c>
      <c r="H6" s="22" t="n">
        <v>0.4784675708302835</v>
      </c>
      <c r="I6" s="22" t="n">
        <v>0.2699369128660312</v>
      </c>
      <c r="J6" s="4" t="inlineStr">
        <is>
          <t>H</t>
        </is>
      </c>
    </row>
    <row r="7">
      <c r="A7" s="14" t="n">
        <v>60</v>
      </c>
      <c r="B7" s="25" t="n">
        <v>87.05672124647741</v>
      </c>
      <c r="C7" s="25" t="n">
        <v>23.49982257751299</v>
      </c>
      <c r="D7" s="25" t="n">
        <v>9.660445499121563</v>
      </c>
      <c r="E7" s="25" t="n">
        <v>1.837713279505426</v>
      </c>
      <c r="F7" s="25" t="n">
        <v>0</v>
      </c>
      <c r="G7" s="25" t="n">
        <v>34.99798135613999</v>
      </c>
      <c r="H7" s="22" t="n">
        <v>0.4020135476622503</v>
      </c>
      <c r="I7" s="22" t="n">
        <v>0.2699369128660341</v>
      </c>
      <c r="J7" s="4" t="inlineStr">
        <is>
          <t>H</t>
        </is>
      </c>
    </row>
    <row r="8">
      <c r="A8" s="14" t="n">
        <v>15</v>
      </c>
      <c r="B8" s="25" t="n">
        <v>21.76418031161935</v>
      </c>
      <c r="C8" s="25" t="n">
        <v>3.763768244189001</v>
      </c>
      <c r="D8" s="25" t="n">
        <v>1.544055219449044</v>
      </c>
      <c r="E8" s="25" t="n">
        <v>0.3365144091208025</v>
      </c>
      <c r="F8" s="25" t="n">
        <v>6.303600438248517</v>
      </c>
      <c r="G8" s="25" t="n">
        <v>11.94793831100736</v>
      </c>
      <c r="H8" s="22" t="n">
        <v>0.5489725843076505</v>
      </c>
      <c r="I8" s="22" t="n">
        <v>0.1729340682855682</v>
      </c>
      <c r="J8" s="4" t="inlineStr">
        <is>
          <t>M</t>
        </is>
      </c>
    </row>
    <row r="9">
      <c r="A9" s="14" t="n">
        <v>25</v>
      </c>
      <c r="B9" s="25" t="n">
        <v>36.27363385269892</v>
      </c>
      <c r="C9" s="25" t="n">
        <v>6.272947073648333</v>
      </c>
      <c r="D9" s="25" t="n">
        <v>2.573425365748407</v>
      </c>
      <c r="E9" s="25" t="n">
        <v>0.5608573485346711</v>
      </c>
      <c r="F9" s="25" t="n">
        <v>6.303600438248517</v>
      </c>
      <c r="G9" s="25" t="n">
        <v>15.71083022617993</v>
      </c>
      <c r="H9" s="22" t="n">
        <v>0.4331198327131753</v>
      </c>
      <c r="I9" s="22" t="n">
        <v>0.1729340682855682</v>
      </c>
      <c r="J9" s="4" t="inlineStr">
        <is>
          <t>M</t>
        </is>
      </c>
    </row>
    <row r="10">
      <c r="A10" s="14" t="n">
        <v>40</v>
      </c>
      <c r="B10" s="25" t="n">
        <v>58.03781416431828</v>
      </c>
      <c r="C10" s="25" t="n">
        <v>9.960261600228364</v>
      </c>
      <c r="D10" s="25" t="n">
        <v>4.196083612110052</v>
      </c>
      <c r="E10" s="25" t="n">
        <v>0.8973717576554735</v>
      </c>
      <c r="F10" s="25" t="n">
        <v>6.303600438248517</v>
      </c>
      <c r="G10" s="25" t="n">
        <v>21.35731740824241</v>
      </c>
      <c r="H10" s="22" t="n">
        <v>0.3679896928539551</v>
      </c>
      <c r="I10" s="22" t="n">
        <v>0.1716167595841669</v>
      </c>
      <c r="J10" s="4" t="inlineStr">
        <is>
          <t>M</t>
        </is>
      </c>
    </row>
    <row r="11">
      <c r="A11" s="14" t="n">
        <v>60</v>
      </c>
      <c r="B11" s="25" t="n">
        <v>87.05672124647741</v>
      </c>
      <c r="C11" s="25" t="n">
        <v>15.055072976756</v>
      </c>
      <c r="D11" s="25" t="n">
        <v>6.176220877796176</v>
      </c>
      <c r="E11" s="25" t="n">
        <v>1.34605763648321</v>
      </c>
      <c r="F11" s="25" t="n">
        <v>4.844735980503486</v>
      </c>
      <c r="G11" s="25" t="n">
        <v>27.42208747153887</v>
      </c>
      <c r="H11" s="22" t="n">
        <v>0.3149910435278248</v>
      </c>
      <c r="I11" s="22" t="n">
        <v>0.1729340682855682</v>
      </c>
      <c r="J11" s="4" t="inlineStr">
        <is>
          <t>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4" customWidth="1" min="9" max="9"/>
    <col width="21" customWidth="1" min="10" max="10"/>
    <col width="22" customWidth="1" min="11" max="11"/>
  </cols>
  <sheetData>
    <row r="1">
      <c r="A1" s="21" t="inlineStr">
        <is>
          <t>¿Es óptimo el glidepath oficial? Mejor glidepath de la familia por aversión al riesgo (equivalente cierto, UF)</t>
        </is>
      </c>
    </row>
    <row r="3">
      <c r="A3" s="3" t="inlineStr">
        <is>
          <t>sexo</t>
        </is>
      </c>
      <c r="B3" s="3" t="inlineStr">
        <is>
          <t>gamma</t>
        </is>
      </c>
      <c r="C3" s="3" t="inlineStr">
        <is>
          <t>con_reforma</t>
        </is>
      </c>
      <c r="D3" s="3" t="inlineStr">
        <is>
          <t>g0</t>
        </is>
      </c>
      <c r="E3" s="3" t="inlineStr">
        <is>
          <t>a1</t>
        </is>
      </c>
      <c r="F3" s="3" t="inlineStr">
        <is>
          <t>g1</t>
        </is>
      </c>
      <c r="G3" s="3" t="inlineStr">
        <is>
          <t>ec_oficial</t>
        </is>
      </c>
      <c r="H3" s="3" t="inlineStr">
        <is>
          <t>ec_optimo</t>
        </is>
      </c>
      <c r="I3" s="3" t="inlineStr">
        <is>
          <t>ec_defecto</t>
        </is>
      </c>
      <c r="J3" s="3" t="inlineStr">
        <is>
          <t>optimo_vs_oficial</t>
        </is>
      </c>
      <c r="K3" s="3" t="inlineStr">
        <is>
          <t>defecto_vs_oficial</t>
        </is>
      </c>
    </row>
    <row r="4">
      <c r="A4" s="4" t="inlineStr">
        <is>
          <t>H</t>
        </is>
      </c>
      <c r="B4" s="23" t="n">
        <v>2</v>
      </c>
      <c r="C4" s="14" t="b">
        <v>1</v>
      </c>
      <c r="D4" s="22" t="n">
        <v>1</v>
      </c>
      <c r="E4" s="27" t="n">
        <v>45</v>
      </c>
      <c r="F4" s="22" t="n">
        <v>0.8</v>
      </c>
      <c r="G4" s="25" t="n">
        <v>21.81089144260766</v>
      </c>
      <c r="H4" s="25" t="n">
        <v>22.49791750733205</v>
      </c>
      <c r="I4" s="25" t="n">
        <v>20.54633424268781</v>
      </c>
      <c r="J4" s="22" t="n">
        <v>0.03149921985225612</v>
      </c>
      <c r="K4" s="22" t="n">
        <v>-0.05797824464201073</v>
      </c>
    </row>
    <row r="5">
      <c r="A5" s="4" t="inlineStr">
        <is>
          <t>H</t>
        </is>
      </c>
      <c r="B5" s="23" t="n">
        <v>3</v>
      </c>
      <c r="C5" s="14" t="b">
        <v>1</v>
      </c>
      <c r="D5" s="22" t="n">
        <v>1</v>
      </c>
      <c r="E5" s="27" t="n">
        <v>35</v>
      </c>
      <c r="F5" s="22" t="n">
        <v>0.7</v>
      </c>
      <c r="G5" s="25" t="n">
        <v>21.24106514110735</v>
      </c>
      <c r="H5" s="25" t="n">
        <v>21.47962732253391</v>
      </c>
      <c r="I5" s="25" t="n">
        <v>20.20551993500472</v>
      </c>
      <c r="J5" s="22" t="n">
        <v>0.01123117790194428</v>
      </c>
      <c r="K5" s="22" t="n">
        <v>-0.04875203758490254</v>
      </c>
    </row>
    <row r="6">
      <c r="A6" s="4" t="inlineStr">
        <is>
          <t>H</t>
        </is>
      </c>
      <c r="B6" s="23" t="n">
        <v>5</v>
      </c>
      <c r="C6" s="14" t="b">
        <v>1</v>
      </c>
      <c r="D6" s="22" t="n">
        <v>1</v>
      </c>
      <c r="E6" s="27" t="n">
        <v>30</v>
      </c>
      <c r="F6" s="22" t="n">
        <v>0.4</v>
      </c>
      <c r="G6" s="25" t="n">
        <v>20.21040530232428</v>
      </c>
      <c r="H6" s="25" t="n">
        <v>20.27355184298723</v>
      </c>
      <c r="I6" s="25" t="n">
        <v>19.55520649790904</v>
      </c>
      <c r="J6" s="22" t="n">
        <v>0.003124456918025542</v>
      </c>
      <c r="K6" s="22" t="n">
        <v>-0.03241888495625012</v>
      </c>
    </row>
    <row r="7">
      <c r="A7" s="4" t="inlineStr">
        <is>
          <t>H</t>
        </is>
      </c>
      <c r="B7" s="23" t="n">
        <v>2</v>
      </c>
      <c r="C7" s="14" t="b">
        <v>0</v>
      </c>
      <c r="D7" s="22" t="n">
        <v>1</v>
      </c>
      <c r="E7" s="27" t="n">
        <v>35</v>
      </c>
      <c r="F7" s="22" t="n">
        <v>0.7</v>
      </c>
      <c r="G7" s="25" t="n">
        <v>10.15941939138435</v>
      </c>
      <c r="H7" s="25" t="n">
        <v>10.37332862672469</v>
      </c>
      <c r="I7" s="25" t="n">
        <v>9.263241171699766</v>
      </c>
      <c r="J7" s="22" t="n">
        <v>0.02105526183137507</v>
      </c>
      <c r="K7" s="22" t="n">
        <v>-0.08821155866885277</v>
      </c>
    </row>
    <row r="8">
      <c r="A8" s="4" t="inlineStr">
        <is>
          <t>H</t>
        </is>
      </c>
      <c r="B8" s="23" t="n">
        <v>3</v>
      </c>
      <c r="C8" s="14" t="b">
        <v>0</v>
      </c>
      <c r="D8" s="22" t="n">
        <v>1</v>
      </c>
      <c r="E8" s="27" t="n">
        <v>30</v>
      </c>
      <c r="F8" s="22" t="n">
        <v>0.4</v>
      </c>
      <c r="G8" s="25" t="n">
        <v>9.379509959857522</v>
      </c>
      <c r="H8" s="25" t="n">
        <v>9.434561713195848</v>
      </c>
      <c r="I8" s="25" t="n">
        <v>8.826324808747481</v>
      </c>
      <c r="J8" s="22" t="n">
        <v>0.005869363492755575</v>
      </c>
      <c r="K8" s="22" t="n">
        <v>-0.0589780439999068</v>
      </c>
    </row>
    <row r="9">
      <c r="A9" s="4" t="inlineStr">
        <is>
          <t>H</t>
        </is>
      </c>
      <c r="B9" s="23" t="n">
        <v>5</v>
      </c>
      <c r="C9" s="14" t="b">
        <v>0</v>
      </c>
      <c r="D9" s="22" t="n">
        <v>0.6</v>
      </c>
      <c r="E9" s="27" t="n">
        <v>30</v>
      </c>
      <c r="F9" s="22" t="n">
        <v>0.4</v>
      </c>
      <c r="G9" s="25" t="n">
        <v>8.093007015597816</v>
      </c>
      <c r="H9" s="25" t="n">
        <v>8.29561118747621</v>
      </c>
      <c r="I9" s="25" t="n">
        <v>8.025854067417487</v>
      </c>
      <c r="J9" s="22" t="n">
        <v>0.02503447377321066</v>
      </c>
      <c r="K9" s="22" t="n">
        <v>-0.008297651052433741</v>
      </c>
    </row>
    <row r="11">
      <c r="A11" s="2" t="inlineStr">
        <is>
          <t>Familia: meseta g0 hasta la edad a1 y baja lineal hasta g1 al retiro; réplica con multifondos.</t>
        </is>
      </c>
    </row>
    <row r="12">
      <c r="A12" s="2" t="inlineStr">
        <is>
          <t>Criterio: utilidad CRRA de la pensión total (con_reforma = cotización del empleador, rentabilidad protegida y PGU).</t>
        </is>
      </c>
    </row>
    <row r="13">
      <c r="A13" s="2" t="inlineStr">
        <is>
          <t>Grilla evaluada en escenarios de entrenamiento; resultados reportados en escenarios de prueba independientes.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6" customWidth="1" min="4" max="4"/>
    <col width="34" customWidth="1" min="5" max="5"/>
    <col width="34" customWidth="1" min="6" max="6"/>
    <col width="34" customWidth="1" min="7" max="7"/>
    <col width="18" customWidth="1" min="8" max="8"/>
    <col width="19" customWidth="1" min="9" max="9"/>
    <col width="21" customWidth="1" min="10" max="10"/>
    <col width="14" customWidth="1" min="11" max="11"/>
    <col width="15" customWidth="1" min="12" max="12"/>
    <col width="17" customWidth="1" min="13" max="13"/>
    <col width="25" customWidth="1" min="14" max="14"/>
    <col width="19" customWidth="1" min="15" max="15"/>
  </cols>
  <sheetData>
    <row r="1">
      <c r="A1" s="21" t="inlineStr">
        <is>
          <t>Comisiones por AFP: costo en pensión y rentabilidad necesaria para compensarlo</t>
        </is>
      </c>
    </row>
    <row r="3">
      <c r="A3" s="3" t="inlineStr">
        <is>
          <t>afp</t>
        </is>
      </c>
      <c r="B3" s="3" t="inlineStr">
        <is>
          <t>comision</t>
        </is>
      </c>
      <c r="C3" s="3" t="inlineStr">
        <is>
          <t>comision_mensual_clp_sueldo_1m</t>
        </is>
      </c>
      <c r="D3" s="3" t="inlineStr">
        <is>
          <t>comision_total_vida_uf</t>
        </is>
      </c>
      <c r="E3" s="3" t="inlineStr">
        <is>
          <t>costo_pension_uf_vs_mas_barata</t>
        </is>
      </c>
      <c r="F3" s="3" t="inlineStr">
        <is>
          <t>costo_pension_pct_vs_mas_barata</t>
        </is>
      </c>
      <c r="G3" s="3" t="inlineStr">
        <is>
          <t>rentabilidad_extra_para_compensar</t>
        </is>
      </c>
      <c r="H3" s="3" t="inlineStr">
        <is>
          <t>alfa_historico</t>
        </is>
      </c>
      <c r="I3" s="3" t="inlineStr">
        <is>
          <t>meses_historico</t>
        </is>
      </c>
      <c r="J3" s="3" t="inlineStr">
        <is>
          <t>ee_alfa_historico</t>
        </is>
      </c>
      <c r="K3" s="3" t="inlineStr">
        <is>
          <t>alfa_comun</t>
        </is>
      </c>
      <c r="L3" s="3" t="inlineStr">
        <is>
          <t>meses_comun</t>
        </is>
      </c>
      <c r="M3" s="3" t="inlineStr">
        <is>
          <t>ee_alfa_comun</t>
        </is>
      </c>
      <c r="N3" s="3" t="inlineStr">
        <is>
          <t>alfa_menos_equilibrio</t>
        </is>
      </c>
      <c r="O3" s="3" t="inlineStr">
        <is>
          <t>t_vs_equilibrio</t>
        </is>
      </c>
    </row>
    <row r="4">
      <c r="A4" s="4" t="inlineStr">
        <is>
          <t>Uno</t>
        </is>
      </c>
      <c r="B4" s="22" t="n">
        <v>0.0046</v>
      </c>
      <c r="C4" s="29" t="n">
        <v>4600</v>
      </c>
      <c r="D4" s="23" t="n">
        <v>42.91292484478021</v>
      </c>
      <c r="E4" s="25" t="n">
        <v>0</v>
      </c>
      <c r="F4" s="22" t="n">
        <v>0</v>
      </c>
      <c r="G4" s="22" t="n">
        <v>0</v>
      </c>
      <c r="H4" s="22" t="n">
        <v>0.002357478638588062</v>
      </c>
      <c r="I4" s="14" t="n">
        <v>83</v>
      </c>
      <c r="J4" s="22" t="n">
        <v>0.004551510994692204</v>
      </c>
      <c r="K4" s="22" t="n">
        <v>-0.0002357973628636101</v>
      </c>
      <c r="L4" s="14" t="n">
        <v>82</v>
      </c>
      <c r="M4" s="22" t="n">
        <v>0.003618040065530605</v>
      </c>
      <c r="N4" s="22" t="n">
        <v>-0.0002357973628636101</v>
      </c>
      <c r="O4" s="25" t="n">
        <v>-0.06517267874119828</v>
      </c>
    </row>
    <row r="5">
      <c r="A5" s="4" t="inlineStr">
        <is>
          <t>Modelo</t>
        </is>
      </c>
      <c r="B5" s="22" t="n">
        <v>0.0058</v>
      </c>
      <c r="C5" s="29" t="n">
        <v>5800</v>
      </c>
      <c r="D5" s="23" t="n">
        <v>54.10760089124459</v>
      </c>
      <c r="E5" s="25" t="n">
        <v>0.1168610627846689</v>
      </c>
      <c r="F5" s="22" t="n">
        <v>0.012</v>
      </c>
      <c r="G5" s="22" t="n">
        <v>0.0005168151855468751</v>
      </c>
      <c r="H5" s="22" t="n">
        <v>-0.001346627810657086</v>
      </c>
      <c r="I5" s="14" t="n">
        <v>192</v>
      </c>
      <c r="J5" s="22" t="n">
        <v>0.002267516752812703</v>
      </c>
      <c r="K5" s="22" t="n">
        <v>-0.002230214467713254</v>
      </c>
      <c r="L5" s="14" t="n">
        <v>82</v>
      </c>
      <c r="M5" s="22" t="n">
        <v>0.002529811826278836</v>
      </c>
      <c r="N5" s="22" t="n">
        <v>-0.002747029653260129</v>
      </c>
      <c r="O5" s="25" t="n">
        <v>-1.085863234856011</v>
      </c>
    </row>
    <row r="6">
      <c r="A6" s="4" t="inlineStr">
        <is>
          <t>PlanVital</t>
        </is>
      </c>
      <c r="B6" s="22" t="n">
        <v>0.0116</v>
      </c>
      <c r="C6" s="29" t="n">
        <v>11600</v>
      </c>
      <c r="D6" s="23" t="n">
        <v>108.2152017824892</v>
      </c>
      <c r="E6" s="25" t="n">
        <v>0.6816895329105687</v>
      </c>
      <c r="F6" s="22" t="n">
        <v>0.06999999999999999</v>
      </c>
      <c r="G6" s="22" t="n">
        <v>0.002936553955078125</v>
      </c>
      <c r="H6" s="22" t="n">
        <v>-0.001648877451749176</v>
      </c>
      <c r="I6" s="14" t="n">
        <v>289</v>
      </c>
      <c r="J6" s="22" t="n">
        <v>0.001587436154611429</v>
      </c>
      <c r="K6" s="22" t="n">
        <v>0.000927368629194536</v>
      </c>
      <c r="L6" s="14" t="n">
        <v>82</v>
      </c>
      <c r="M6" s="22" t="n">
        <v>0.002153718936999545</v>
      </c>
      <c r="N6" s="22" t="n">
        <v>-0.002009185325883589</v>
      </c>
      <c r="O6" s="25" t="n">
        <v>-0.932891145342617</v>
      </c>
    </row>
    <row r="7">
      <c r="A7" s="4" t="inlineStr">
        <is>
          <t>Habitat</t>
        </is>
      </c>
      <c r="B7" s="22" t="n">
        <v>0.0127</v>
      </c>
      <c r="C7" s="29" t="n">
        <v>12700</v>
      </c>
      <c r="D7" s="23" t="n">
        <v>118.476988158415</v>
      </c>
      <c r="E7" s="25" t="n">
        <v>0.7888121737965151</v>
      </c>
      <c r="F7" s="22" t="n">
        <v>0.08099999999999999</v>
      </c>
      <c r="G7" s="22" t="n">
        <v>0.003376922607421875</v>
      </c>
      <c r="H7" s="22" t="n">
        <v>0.003300291758884022</v>
      </c>
      <c r="I7" s="14" t="n">
        <v>289</v>
      </c>
      <c r="J7" s="22" t="n">
        <v>0.001180359962717409</v>
      </c>
      <c r="K7" s="22" t="n">
        <v>0.00137962531723097</v>
      </c>
      <c r="L7" s="14" t="n">
        <v>82</v>
      </c>
      <c r="M7" s="22" t="n">
        <v>0.002208891381672083</v>
      </c>
      <c r="N7" s="22" t="n">
        <v>-0.001997297290190905</v>
      </c>
      <c r="O7" s="25" t="n">
        <v>-0.904208014374611</v>
      </c>
    </row>
    <row r="8">
      <c r="A8" s="4" t="inlineStr">
        <is>
          <t>Capital</t>
        </is>
      </c>
      <c r="B8" s="22" t="n">
        <v>0.0144</v>
      </c>
      <c r="C8" s="29" t="n">
        <v>14400</v>
      </c>
      <c r="D8" s="23" t="n">
        <v>134.3361125575728</v>
      </c>
      <c r="E8" s="25" t="n">
        <v>0.9543653460747962</v>
      </c>
      <c r="F8" s="22" t="n">
        <v>0.09799999999999999</v>
      </c>
      <c r="G8" s="22" t="n">
        <v>0.004052581787109375</v>
      </c>
      <c r="H8" s="22" t="n">
        <v>0.001075497427890193</v>
      </c>
      <c r="I8" s="14" t="n">
        <v>221</v>
      </c>
      <c r="J8" s="22" t="n">
        <v>0.001161323746836198</v>
      </c>
      <c r="K8" s="22" t="n">
        <v>0.002530410792174975</v>
      </c>
      <c r="L8" s="14" t="n">
        <v>82</v>
      </c>
      <c r="M8" s="22" t="n">
        <v>0.001474062914294543</v>
      </c>
      <c r="N8" s="22" t="n">
        <v>-0.0015221709949344</v>
      </c>
      <c r="O8" s="25" t="n">
        <v>-1.032636382187853</v>
      </c>
    </row>
    <row r="9">
      <c r="A9" s="4" t="inlineStr">
        <is>
          <t>Cuprum</t>
        </is>
      </c>
      <c r="B9" s="22" t="n">
        <v>0.0144</v>
      </c>
      <c r="C9" s="29" t="n">
        <v>14400</v>
      </c>
      <c r="D9" s="23" t="n">
        <v>134.3361125575728</v>
      </c>
      <c r="E9" s="25" t="n">
        <v>0.9543653460747962</v>
      </c>
      <c r="F9" s="22" t="n">
        <v>0.09799999999999999</v>
      </c>
      <c r="G9" s="22" t="n">
        <v>0.004052581787109375</v>
      </c>
      <c r="H9" s="22" t="n">
        <v>0.001529268021796026</v>
      </c>
      <c r="I9" s="14" t="n">
        <v>289</v>
      </c>
      <c r="J9" s="22" t="n">
        <v>0.001294373993724194</v>
      </c>
      <c r="K9" s="22" t="n">
        <v>0.001324839680963974</v>
      </c>
      <c r="L9" s="14" t="n">
        <v>82</v>
      </c>
      <c r="M9" s="22" t="n">
        <v>0.001911337442733075</v>
      </c>
      <c r="N9" s="22" t="n">
        <v>-0.002727742106145402</v>
      </c>
      <c r="O9" s="25" t="n">
        <v>-1.427137901010785</v>
      </c>
    </row>
    <row r="10">
      <c r="A10" s="4" t="inlineStr">
        <is>
          <t>Provida</t>
        </is>
      </c>
      <c r="B10" s="22" t="n">
        <v>0.0145</v>
      </c>
      <c r="C10" s="29" t="n">
        <v>14500</v>
      </c>
      <c r="D10" s="23" t="n">
        <v>135.2690022281115</v>
      </c>
      <c r="E10" s="25" t="n">
        <v>0.9641037679735187</v>
      </c>
      <c r="F10" s="22" t="n">
        <v>0.099</v>
      </c>
      <c r="G10" s="22" t="n">
        <v>0.004091949462890626</v>
      </c>
      <c r="H10" s="22" t="n">
        <v>-0.002006289828630292</v>
      </c>
      <c r="I10" s="14" t="n">
        <v>289</v>
      </c>
      <c r="J10" s="22" t="n">
        <v>0.001258910262090376</v>
      </c>
      <c r="K10" s="22" t="n">
        <v>-0.001569775613138447</v>
      </c>
      <c r="L10" s="14" t="n">
        <v>82</v>
      </c>
      <c r="M10" s="22" t="n">
        <v>0.002646277164591531</v>
      </c>
      <c r="N10" s="22" t="n">
        <v>-0.005661725076029073</v>
      </c>
      <c r="O10" s="25" t="n">
        <v>-2.139505699473091</v>
      </c>
    </row>
    <row r="12">
      <c r="A12" s="2" t="inlineStr">
        <is>
          <t>Comisión = % del sueldo imponible, aparte del 10% (SP, vigente desde el 01-10-2025).</t>
        </is>
      </c>
    </row>
    <row r="13">
      <c r="A13" s="2" t="inlineStr">
        <is>
          <t>Costo en pensión = (comisión − comisión más baja) / 10% × pensión autofinanciada (la pensión es lineal en los aportes).</t>
        </is>
      </c>
    </row>
    <row r="14">
      <c r="A14" s="2" t="inlineStr">
        <is>
          <t>Rentabilidad extra para compensar = retorno real anual adicional que iguala esa pensión (fondo por defecto, consenso 2026).</t>
        </is>
      </c>
    </row>
    <row r="15">
      <c r="A15" s="2" t="inlineStr">
        <is>
          <t>Alfa = rentabilidad real anual frente al promedio ponderado de las demás AFP, promedio de los 5 fondos; común = nov-2019 a ago-2026 (las 7 AFP). t_vs_equilibrio = (alfa − necesaria) / error estándar.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1" customWidth="1" min="4" max="4"/>
    <col width="21" customWidth="1" min="5" max="5"/>
    <col width="12" customWidth="1" min="6" max="6"/>
  </cols>
  <sheetData>
    <row r="1">
      <c r="A1" s="21" t="inlineStr">
        <is>
          <t>¿Ayuda la macro a predecir? Densidad predictiva a un paso fuera de muestra (walk-forward 2015-2026)</t>
        </is>
      </c>
    </row>
    <row r="3">
      <c r="A3" s="3" t="inlineStr">
        <is>
          <t>modelo</t>
        </is>
      </c>
      <c r="B3" s="3" t="inlineStr">
        <is>
          <t>log_score_promedio</t>
        </is>
      </c>
      <c r="C3" s="3" t="inlineStr">
        <is>
          <t>meses</t>
        </is>
      </c>
      <c r="D3" s="3" t="inlineStr">
        <is>
          <t>tvtp_menos_modelo</t>
        </is>
      </c>
      <c r="E3" s="3" t="inlineStr">
        <is>
          <t>t_diebold_mariano</t>
        </is>
      </c>
      <c r="F3" s="3" t="inlineStr">
        <is>
          <t>p_valor</t>
        </is>
      </c>
    </row>
    <row r="4">
      <c r="A4" s="4" t="inlineStr">
        <is>
          <t>HMM constante</t>
        </is>
      </c>
      <c r="B4" s="24" t="n">
        <v>18.19688060959884</v>
      </c>
      <c r="C4" s="14" t="n">
        <v>140</v>
      </c>
      <c r="D4" s="24" t="n">
        <v>-0.0007646710963605142</v>
      </c>
      <c r="E4" s="25" t="n">
        <v>-0.02068102037143527</v>
      </c>
      <c r="F4" s="30" t="n">
        <v>0.983500109332232</v>
      </c>
    </row>
    <row r="5">
      <c r="A5" s="4" t="inlineStr">
        <is>
          <t>HMM con macro (TVTP)</t>
        </is>
      </c>
      <c r="B5" s="24" t="n">
        <v>18.19611593850247</v>
      </c>
      <c r="C5" s="14" t="n">
        <v>140</v>
      </c>
      <c r="D5" s="24" t="n">
        <v>0</v>
      </c>
      <c r="E5" s="25" t="n">
        <v/>
      </c>
      <c r="F5" s="30" t="n">
        <v/>
      </c>
    </row>
    <row r="6">
      <c r="A6" s="4" t="inlineStr">
        <is>
          <t>Normal (sin regímenes)</t>
        </is>
      </c>
      <c r="B6" s="24" t="n">
        <v>17.45985243974132</v>
      </c>
      <c r="C6" s="14" t="n">
        <v>140</v>
      </c>
      <c r="D6" s="24" t="n">
        <v>0.7362634987611505</v>
      </c>
      <c r="E6" s="25" t="n">
        <v>3.412504525197265</v>
      </c>
      <c r="F6" s="30" t="n">
        <v>0.0006436885824909755</v>
      </c>
    </row>
    <row r="8">
      <c r="A8" s="2" t="inlineStr">
        <is>
          <t>Log-score = log p(retornos del mes siguiente | información hasta hoy); mayor es mejor.</t>
        </is>
      </c>
    </row>
    <row r="9">
      <c r="A9" s="2" t="inlineStr">
        <is>
          <t>Diebold-Mariano con varianza HAC (Newey-West, 6 rezagos) sobre la diferencia mensual TVTP − modelo.</t>
        </is>
      </c>
    </row>
    <row r="10">
      <c r="A10" s="2" t="inlineStr">
        <is>
          <t>TVTP: probabilidades de transición = softmax(b + w·z), z = inflación 12m, ΔTPM 6m, dólar 3m, Imacec (rezagados).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7" customWidth="1" min="5" max="5"/>
    <col width="13" customWidth="1" min="6" max="6"/>
  </cols>
  <sheetData>
    <row r="1">
      <c r="A1" s="21" t="inlineStr">
        <is>
          <t>Efecto de +1 desviación estándar de cada variable sobre la probabilidad de cambiar de régimen (muestra completa)</t>
        </is>
      </c>
    </row>
    <row r="3">
      <c r="A3" s="3" t="inlineStr">
        <is>
          <t>variable</t>
        </is>
      </c>
      <c r="B3" s="3" t="inlineStr">
        <is>
          <t>desde</t>
        </is>
      </c>
      <c r="C3" s="3" t="inlineStr">
        <is>
          <t>hacia</t>
        </is>
      </c>
      <c r="D3" s="3" t="inlineStr">
        <is>
          <t>prob_base</t>
        </is>
      </c>
      <c r="E3" s="3" t="inlineStr">
        <is>
          <t>prob_con_+1sd</t>
        </is>
      </c>
      <c r="F3" s="3" t="inlineStr">
        <is>
          <t>cambio_pp</t>
        </is>
      </c>
    </row>
    <row r="4">
      <c r="A4" s="4" t="inlineStr">
        <is>
          <t>Inflación 12 meses (IPC, rezago 1 mes)</t>
        </is>
      </c>
      <c r="B4" s="14" t="n">
        <v>0</v>
      </c>
      <c r="C4" s="14" t="n">
        <v>1</v>
      </c>
      <c r="D4" s="22" t="n">
        <v>0.007113533538454774</v>
      </c>
      <c r="E4" s="22" t="n">
        <v>0.006147412547967908</v>
      </c>
      <c r="F4" s="22" t="n">
        <v>-0.0009661209904868661</v>
      </c>
    </row>
    <row r="5">
      <c r="A5" s="4" t="inlineStr">
        <is>
          <t>Inflación 12 meses (IPC, rezago 1 mes)</t>
        </is>
      </c>
      <c r="B5" s="14" t="n">
        <v>0</v>
      </c>
      <c r="C5" s="14" t="n">
        <v>2</v>
      </c>
      <c r="D5" s="22" t="n">
        <v>0.04027952998959874</v>
      </c>
      <c r="E5" s="22" t="n">
        <v>0.1083892813005483</v>
      </c>
      <c r="F5" s="22" t="n">
        <v>0.06810975131094954</v>
      </c>
    </row>
    <row r="6">
      <c r="A6" s="4" t="inlineStr">
        <is>
          <t>Inflación 12 meses (IPC, rezago 1 mes)</t>
        </is>
      </c>
      <c r="B6" s="14" t="n">
        <v>1</v>
      </c>
      <c r="C6" s="14" t="n">
        <v>0</v>
      </c>
      <c r="D6" s="22" t="n">
        <v>3.626380783916921e-07</v>
      </c>
      <c r="E6" s="22" t="n">
        <v>3.647593157782228e-07</v>
      </c>
      <c r="F6" s="22" t="n">
        <v>2.121237386530683e-09</v>
      </c>
    </row>
    <row r="7">
      <c r="A7" s="4" t="inlineStr">
        <is>
          <t>Inflación 12 meses (IPC, rezago 1 mes)</t>
        </is>
      </c>
      <c r="B7" s="14" t="n">
        <v>1</v>
      </c>
      <c r="C7" s="14" t="n">
        <v>2</v>
      </c>
      <c r="D7" s="22" t="n">
        <v>0.01386195391553562</v>
      </c>
      <c r="E7" s="22" t="n">
        <v>0.008074657056739118</v>
      </c>
      <c r="F7" s="22" t="n">
        <v>-0.0057872968587965</v>
      </c>
    </row>
    <row r="8">
      <c r="A8" s="4" t="inlineStr">
        <is>
          <t>Inflación 12 meses (IPC, rezago 1 mes)</t>
        </is>
      </c>
      <c r="B8" s="14" t="n">
        <v>2</v>
      </c>
      <c r="C8" s="14" t="n">
        <v>0</v>
      </c>
      <c r="D8" s="22" t="n">
        <v>0.4727230182583151</v>
      </c>
      <c r="E8" s="22" t="n">
        <v>0.4589743682034549</v>
      </c>
      <c r="F8" s="22" t="n">
        <v>-0.01374865005486015</v>
      </c>
    </row>
    <row r="9">
      <c r="A9" s="4" t="inlineStr">
        <is>
          <t>Inflación 12 meses (IPC, rezago 1 mes)</t>
        </is>
      </c>
      <c r="B9" s="14" t="n">
        <v>2</v>
      </c>
      <c r="C9" s="14" t="n">
        <v>1</v>
      </c>
      <c r="D9" s="22" t="n">
        <v>3.67627007744074e-06</v>
      </c>
      <c r="E9" s="22" t="n">
        <v>3.771968725577081e-06</v>
      </c>
      <c r="F9" s="22" t="n">
        <v>9.569864813634134e-08</v>
      </c>
    </row>
    <row r="10">
      <c r="A10" s="4" t="inlineStr">
        <is>
          <t>Cambio de la TPM en 6 meses</t>
        </is>
      </c>
      <c r="B10" s="14" t="n">
        <v>0</v>
      </c>
      <c r="C10" s="14" t="n">
        <v>1</v>
      </c>
      <c r="D10" s="22" t="n">
        <v>0.007113533538454774</v>
      </c>
      <c r="E10" s="22" t="n">
        <v>0.008211044641741046</v>
      </c>
      <c r="F10" s="22" t="n">
        <v>0.001097511103286273</v>
      </c>
    </row>
    <row r="11">
      <c r="A11" s="4" t="inlineStr">
        <is>
          <t>Cambio de la TPM en 6 meses</t>
        </is>
      </c>
      <c r="B11" s="14" t="n">
        <v>0</v>
      </c>
      <c r="C11" s="14" t="n">
        <v>2</v>
      </c>
      <c r="D11" s="22" t="n">
        <v>0.04027952998959874</v>
      </c>
      <c r="E11" s="22" t="n">
        <v>0.1641658946386991</v>
      </c>
      <c r="F11" s="22" t="n">
        <v>0.1238863646491004</v>
      </c>
    </row>
    <row r="12">
      <c r="A12" s="4" t="inlineStr">
        <is>
          <t>Cambio de la TPM en 6 meses</t>
        </is>
      </c>
      <c r="B12" s="14" t="n">
        <v>1</v>
      </c>
      <c r="C12" s="14" t="n">
        <v>0</v>
      </c>
      <c r="D12" s="22" t="n">
        <v>3.626380783916921e-07</v>
      </c>
      <c r="E12" s="22" t="n">
        <v>3.64110863939917e-07</v>
      </c>
      <c r="F12" s="22" t="n">
        <v>1.47278554822494e-09</v>
      </c>
    </row>
    <row r="13">
      <c r="A13" s="4" t="inlineStr">
        <is>
          <t>Cambio de la TPM en 6 meses</t>
        </is>
      </c>
      <c r="B13" s="14" t="n">
        <v>1</v>
      </c>
      <c r="C13" s="14" t="n">
        <v>2</v>
      </c>
      <c r="D13" s="22" t="n">
        <v>0.01386195391553562</v>
      </c>
      <c r="E13" s="22" t="n">
        <v>0.009851759947025642</v>
      </c>
      <c r="F13" s="22" t="n">
        <v>-0.004010193968509976</v>
      </c>
    </row>
    <row r="14">
      <c r="A14" s="4" t="inlineStr">
        <is>
          <t>Cambio de la TPM en 6 meses</t>
        </is>
      </c>
      <c r="B14" s="14" t="n">
        <v>2</v>
      </c>
      <c r="C14" s="14" t="n">
        <v>0</v>
      </c>
      <c r="D14" s="22" t="n">
        <v>0.4727230182583151</v>
      </c>
      <c r="E14" s="22" t="n">
        <v>0.5065065435534337</v>
      </c>
      <c r="F14" s="22" t="n">
        <v>0.03378352529511863</v>
      </c>
    </row>
    <row r="15">
      <c r="A15" s="4" t="inlineStr">
        <is>
          <t>Cambio de la TPM en 6 meses</t>
        </is>
      </c>
      <c r="B15" s="14" t="n">
        <v>2</v>
      </c>
      <c r="C15" s="14" t="n">
        <v>1</v>
      </c>
      <c r="D15" s="22" t="n">
        <v>3.67627007744074e-06</v>
      </c>
      <c r="E15" s="22" t="n">
        <v>3.440886989554388e-06</v>
      </c>
      <c r="F15" s="22" t="n">
        <v>-2.353830878863523e-07</v>
      </c>
    </row>
    <row r="16">
      <c r="A16" s="4" t="inlineStr">
        <is>
          <t>Variación del dólar en 3 meses</t>
        </is>
      </c>
      <c r="B16" s="14" t="n">
        <v>0</v>
      </c>
      <c r="C16" s="14" t="n">
        <v>1</v>
      </c>
      <c r="D16" s="22" t="n">
        <v>0.007113533538454774</v>
      </c>
      <c r="E16" s="22" t="n">
        <v>0.006223658201725711</v>
      </c>
      <c r="F16" s="22" t="n">
        <v>-0.0008898753367290631</v>
      </c>
    </row>
    <row r="17">
      <c r="A17" s="4" t="inlineStr">
        <is>
          <t>Variación del dólar en 3 meses</t>
        </is>
      </c>
      <c r="B17" s="14" t="n">
        <v>0</v>
      </c>
      <c r="C17" s="14" t="n">
        <v>2</v>
      </c>
      <c r="D17" s="22" t="n">
        <v>0.04027952998959874</v>
      </c>
      <c r="E17" s="22" t="n">
        <v>0.03101232277030021</v>
      </c>
      <c r="F17" s="22" t="n">
        <v>-0.00926720721929853</v>
      </c>
    </row>
    <row r="18">
      <c r="A18" s="4" t="inlineStr">
        <is>
          <t>Variación del dólar en 3 meses</t>
        </is>
      </c>
      <c r="B18" s="14" t="n">
        <v>1</v>
      </c>
      <c r="C18" s="14" t="n">
        <v>0</v>
      </c>
      <c r="D18" s="22" t="n">
        <v>3.626380783916921e-07</v>
      </c>
      <c r="E18" s="22" t="n">
        <v>3.613501175739493e-07</v>
      </c>
      <c r="F18" s="22" t="n">
        <v>-1.287960817742857e-09</v>
      </c>
    </row>
    <row r="19">
      <c r="A19" s="4" t="inlineStr">
        <is>
          <t>Variación del dólar en 3 meses</t>
        </is>
      </c>
      <c r="B19" s="14" t="n">
        <v>1</v>
      </c>
      <c r="C19" s="14" t="n">
        <v>2</v>
      </c>
      <c r="D19" s="22" t="n">
        <v>0.01386195391553562</v>
      </c>
      <c r="E19" s="22" t="n">
        <v>0.01736274185592507</v>
      </c>
      <c r="F19" s="22" t="n">
        <v>0.003500787940389454</v>
      </c>
    </row>
    <row r="20">
      <c r="A20" s="4" t="inlineStr">
        <is>
          <t>Variación del dólar en 3 meses</t>
        </is>
      </c>
      <c r="B20" s="14" t="n">
        <v>2</v>
      </c>
      <c r="C20" s="14" t="n">
        <v>0</v>
      </c>
      <c r="D20" s="22" t="n">
        <v>0.4727230182583151</v>
      </c>
      <c r="E20" s="22" t="n">
        <v>0.45913699666999</v>
      </c>
      <c r="F20" s="22" t="n">
        <v>-0.01358602158832511</v>
      </c>
    </row>
    <row r="21">
      <c r="A21" s="4" t="inlineStr">
        <is>
          <t>Variación del dólar en 3 meses</t>
        </is>
      </c>
      <c r="B21" s="14" t="n">
        <v>2</v>
      </c>
      <c r="C21" s="14" t="n">
        <v>1</v>
      </c>
      <c r="D21" s="22" t="n">
        <v>3.67627007744074e-06</v>
      </c>
      <c r="E21" s="22" t="n">
        <v>3.770954715106118e-06</v>
      </c>
      <c r="F21" s="22" t="n">
        <v>9.468463766537803e-08</v>
      </c>
    </row>
    <row r="22">
      <c r="A22" s="4" t="inlineStr">
        <is>
          <t>Imacec anual (rezago 2 meses)</t>
        </is>
      </c>
      <c r="B22" s="14" t="n">
        <v>0</v>
      </c>
      <c r="C22" s="14" t="n">
        <v>1</v>
      </c>
      <c r="D22" s="22" t="n">
        <v>0.007113533538454774</v>
      </c>
      <c r="E22" s="22" t="n">
        <v>0.002220170341564814</v>
      </c>
      <c r="F22" s="22" t="n">
        <v>-0.00489336319688996</v>
      </c>
    </row>
    <row r="23">
      <c r="A23" s="4" t="inlineStr">
        <is>
          <t>Imacec anual (rezago 2 meses)</t>
        </is>
      </c>
      <c r="B23" s="14" t="n">
        <v>0</v>
      </c>
      <c r="C23" s="14" t="n">
        <v>2</v>
      </c>
      <c r="D23" s="22" t="n">
        <v>0.04027952998959874</v>
      </c>
      <c r="E23" s="22" t="n">
        <v>0.02939155221399957</v>
      </c>
      <c r="F23" s="22" t="n">
        <v>-0.01088797777559918</v>
      </c>
    </row>
    <row r="24">
      <c r="A24" s="4" t="inlineStr">
        <is>
          <t>Imacec anual (rezago 2 meses)</t>
        </is>
      </c>
      <c r="B24" s="14" t="n">
        <v>1</v>
      </c>
      <c r="C24" s="14" t="n">
        <v>0</v>
      </c>
      <c r="D24" s="22" t="n">
        <v>3.626380783916921e-07</v>
      </c>
      <c r="E24" s="22" t="n">
        <v>3.619939466047499e-07</v>
      </c>
      <c r="F24" s="22" t="n">
        <v>-6.441317869422473e-10</v>
      </c>
    </row>
    <row r="25">
      <c r="A25" s="4" t="inlineStr">
        <is>
          <t>Imacec anual (rezago 2 meses)</t>
        </is>
      </c>
      <c r="B25" s="14" t="n">
        <v>1</v>
      </c>
      <c r="C25" s="14" t="n">
        <v>2</v>
      </c>
      <c r="D25" s="22" t="n">
        <v>0.01386195391553562</v>
      </c>
      <c r="E25" s="22" t="n">
        <v>0.01561265704507581</v>
      </c>
      <c r="F25" s="22" t="n">
        <v>0.001750703129540192</v>
      </c>
    </row>
    <row r="26">
      <c r="A26" s="4" t="inlineStr">
        <is>
          <t>Imacec anual (rezago 2 meses)</t>
        </is>
      </c>
      <c r="B26" s="14" t="n">
        <v>2</v>
      </c>
      <c r="C26" s="14" t="n">
        <v>0</v>
      </c>
      <c r="D26" s="22" t="n">
        <v>0.4727230182583151</v>
      </c>
      <c r="E26" s="22" t="n">
        <v>0.5334271889808903</v>
      </c>
      <c r="F26" s="22" t="n">
        <v>0.06070417072257517</v>
      </c>
    </row>
    <row r="27">
      <c r="A27" s="4" t="inlineStr">
        <is>
          <t>Imacec anual (rezago 2 meses)</t>
        </is>
      </c>
      <c r="B27" s="14" t="n">
        <v>2</v>
      </c>
      <c r="C27" s="14" t="n">
        <v>1</v>
      </c>
      <c r="D27" s="22" t="n">
        <v>3.67627007744074e-06</v>
      </c>
      <c r="E27" s="22" t="n">
        <v>3.253062541141058e-06</v>
      </c>
      <c r="F27" s="22" t="n">
        <v>-4.232075362996822e-07</v>
      </c>
    </row>
    <row r="29">
      <c r="A29" s="2" t="inlineStr">
        <is>
          <t>Regímenes: 0 = calma, 1 = tasas volátiles (post-2019), 2 = crisis bursátil.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" customWidth="1" min="4" max="4"/>
    <col width="22" customWidth="1" min="5" max="5"/>
    <col width="25" customWidth="1" min="6" max="6"/>
    <col width="17" customWidth="1" min="7" max="7"/>
    <col width="20" customWidth="1" min="8" max="8"/>
    <col width="19" customWidth="1" min="9" max="9"/>
    <col width="22" customWidth="1" min="10" max="10"/>
    <col width="23" customWidth="1" min="11" max="11"/>
    <col width="25" customWidth="1" min="12" max="12"/>
    <col width="24" customWidth="1" min="13" max="13"/>
    <col width="19" customWidth="1" min="14" max="14"/>
  </cols>
  <sheetData>
    <row r="1">
      <c r="A1" s="21" t="inlineStr">
        <is>
          <t>Microsimulación poblacional: resultados por sexo</t>
        </is>
      </c>
    </row>
    <row r="3">
      <c r="A3" s="3" t="inlineStr">
        <is>
          <t>sexo</t>
        </is>
      </c>
      <c r="B3" s="3" t="inlineStr">
        <is>
          <t>personas</t>
        </is>
      </c>
      <c r="C3" s="3" t="inlineStr">
        <is>
          <t>densidad_media</t>
        </is>
      </c>
      <c r="D3" s="3" t="inlineStr">
        <is>
          <t>sueldo_ref_mediano_uf</t>
        </is>
      </c>
      <c r="E3" s="3" t="inlineStr">
        <is>
          <t>pension_10_mediana</t>
        </is>
      </c>
      <c r="F3" s="3" t="inlineStr">
        <is>
          <t>pension_total_mediana</t>
        </is>
      </c>
      <c r="G3" s="3" t="inlineStr">
        <is>
          <t>tr_10_mediana</t>
        </is>
      </c>
      <c r="H3" s="3" t="inlineStr">
        <is>
          <t>tr_total_mediana</t>
        </is>
      </c>
      <c r="I3" s="3" t="inlineStr">
        <is>
          <t>prob_tr_meta_10</t>
        </is>
      </c>
      <c r="J3" s="3" t="inlineStr">
        <is>
          <t>prob_tr_meta_total</t>
        </is>
      </c>
      <c r="K3" s="3" t="inlineStr">
        <is>
          <t>pct_pgu_mayor_mitad</t>
        </is>
      </c>
      <c r="L3" s="3" t="inlineStr">
        <is>
          <t>cv_vs_defecto_mediana</t>
        </is>
      </c>
      <c r="M3" s="3" t="inlineStr">
        <is>
          <t>pct_personas_cv_gana</t>
        </is>
      </c>
      <c r="N3" s="3" t="inlineStr">
        <is>
          <t>pct_sin_pension</t>
        </is>
      </c>
    </row>
    <row r="4">
      <c r="A4" s="4" t="inlineStr">
        <is>
          <t>H</t>
        </is>
      </c>
      <c r="B4" s="14" t="n">
        <v>11239</v>
      </c>
      <c r="C4" s="22" t="n">
        <v>0.5805993638224041</v>
      </c>
      <c r="D4" s="25" t="n">
        <v>26.25829840045317</v>
      </c>
      <c r="E4" s="25" t="n">
        <v>7.481994497828804</v>
      </c>
      <c r="F4" s="25" t="n">
        <v>17.38973362563933</v>
      </c>
      <c r="G4" s="22" t="n">
        <v>0.2670172714202461</v>
      </c>
      <c r="H4" s="22" t="n">
        <v>0.627175283115325</v>
      </c>
      <c r="I4" s="22" t="n">
        <v>0.2357874366046801</v>
      </c>
      <c r="J4" s="22" t="n">
        <v>0.8232382774268173</v>
      </c>
      <c r="K4" s="22" t="n">
        <v>0.3241498353946081</v>
      </c>
      <c r="L4" s="22" t="n">
        <v>0.05220831349824118</v>
      </c>
      <c r="M4" s="22" t="n">
        <v>0.9652994038615536</v>
      </c>
      <c r="N4" s="22" t="n">
        <v>0.001156686537948204</v>
      </c>
    </row>
    <row r="5">
      <c r="A5" s="4" t="inlineStr">
        <is>
          <t>M</t>
        </is>
      </c>
      <c r="B5" s="14" t="n">
        <v>8761</v>
      </c>
      <c r="C5" s="22" t="n">
        <v>0.4988751555867181</v>
      </c>
      <c r="D5" s="25" t="n">
        <v>22.78885777217155</v>
      </c>
      <c r="E5" s="25" t="n">
        <v>3.409478324138548</v>
      </c>
      <c r="F5" s="25" t="n">
        <v>11.29128401947322</v>
      </c>
      <c r="G5" s="22" t="n">
        <v>0.1448364045296125</v>
      </c>
      <c r="H5" s="22" t="n">
        <v>0.4868260432354977</v>
      </c>
      <c r="I5" s="22" t="n">
        <v>0.02233477913480196</v>
      </c>
      <c r="J5" s="22" t="n">
        <v>0.6610569569683826</v>
      </c>
      <c r="K5" s="22" t="n">
        <v>0.5577331354868166</v>
      </c>
      <c r="L5" s="22" t="n">
        <v>0.04604804290898745</v>
      </c>
      <c r="M5" s="22" t="n">
        <v>0.9344823650268235</v>
      </c>
      <c r="N5" s="22" t="n">
        <v>0.001255564433283896</v>
      </c>
    </row>
    <row r="7">
      <c r="A7" s="2" t="inlineStr">
        <is>
          <t>Cohorte sintética que empieza a cotizar a los 25 en 2026. Ingreso lognormal y densidad Beta por sexo calibrados con la SP (2026);</t>
        </is>
      </c>
    </row>
    <row r="8">
      <c r="A8" s="2" t="inlineStr">
        <is>
          <t>lagunas como rachas de empleo formal (cadena de Markov); supuestos de mercado de consenso 2026; fondo por defecto salvo cv_*.</t>
        </is>
      </c>
    </row>
    <row r="9">
      <c r="A9" s="2" t="inlineStr">
        <is>
          <t>Métricas por persona: mediana sobre 400 escenarios de mercado comunes a toda la cohorte.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7" customWidth="1" min="4" max="4"/>
    <col width="20" customWidth="1" min="5" max="5"/>
    <col width="22" customWidth="1" min="6" max="6"/>
    <col width="15" customWidth="1" min="7" max="7"/>
    <col width="25" customWidth="1" min="8" max="8"/>
    <col width="23" customWidth="1" min="9" max="9"/>
    <col width="24" customWidth="1" min="10" max="10"/>
  </cols>
  <sheetData>
    <row r="1">
      <c r="A1" s="21" t="inlineStr">
        <is>
          <t>Microsimulación: tasa de reemplazo y PGU por quintil de ingreso</t>
        </is>
      </c>
    </row>
    <row r="3">
      <c r="A3" s="3" t="inlineStr">
        <is>
          <t>sexo</t>
        </is>
      </c>
      <c r="B3" s="3" t="inlineStr">
        <is>
          <t>quintil</t>
        </is>
      </c>
      <c r="C3" s="3" t="inlineStr">
        <is>
          <t>sueldo_ref_mediano_uf</t>
        </is>
      </c>
      <c r="D3" s="3" t="inlineStr">
        <is>
          <t>tr_10_mediana</t>
        </is>
      </c>
      <c r="E3" s="3" t="inlineStr">
        <is>
          <t>tr_total_mediana</t>
        </is>
      </c>
      <c r="F3" s="3" t="inlineStr">
        <is>
          <t>prob_tr_meta_total</t>
        </is>
      </c>
      <c r="G3" s="3" t="inlineStr">
        <is>
          <t>pgu_mediana</t>
        </is>
      </c>
      <c r="H3" s="3" t="inlineStr">
        <is>
          <t>pension_total_mediana</t>
        </is>
      </c>
      <c r="I3" s="3" t="inlineStr">
        <is>
          <t>cv_vs_defecto_total</t>
        </is>
      </c>
      <c r="J3" s="3" t="inlineStr">
        <is>
          <t>cv_vs_defecto_propia</t>
        </is>
      </c>
    </row>
    <row r="4">
      <c r="A4" s="4" t="inlineStr">
        <is>
          <t>H</t>
        </is>
      </c>
      <c r="B4" s="14" t="n">
        <v>1</v>
      </c>
      <c r="C4" s="25" t="n">
        <v>10.0890592393075</v>
      </c>
      <c r="D4" s="22" t="n">
        <v>0.1970876041893812</v>
      </c>
      <c r="E4" s="22" t="n">
        <v>0.9055514372578255</v>
      </c>
      <c r="F4" s="22" t="n">
        <v>0.9988067170818505</v>
      </c>
      <c r="G4" s="25" t="n">
        <v>6.303600438248517</v>
      </c>
      <c r="H4" s="25" t="n">
        <v>9.515179911634196</v>
      </c>
      <c r="I4" s="22" t="n">
        <v>0.03225722708868506</v>
      </c>
      <c r="J4" s="22" t="n">
        <v>0.09441231508530556</v>
      </c>
    </row>
    <row r="5">
      <c r="A5" s="4" t="inlineStr">
        <is>
          <t>H</t>
        </is>
      </c>
      <c r="B5" s="14" t="n">
        <v>2</v>
      </c>
      <c r="C5" s="25" t="n">
        <v>17.6492084296502</v>
      </c>
      <c r="D5" s="22" t="n">
        <v>0.2372533021486117</v>
      </c>
      <c r="E5" s="22" t="n">
        <v>0.669052509116302</v>
      </c>
      <c r="F5" s="22" t="n">
        <v>0.8609219306049822</v>
      </c>
      <c r="G5" s="25" t="n">
        <v>6.303600438248517</v>
      </c>
      <c r="H5" s="25" t="n">
        <v>13.57942737452789</v>
      </c>
      <c r="I5" s="22" t="n">
        <v>0.05206309830474876</v>
      </c>
      <c r="J5" s="22" t="n">
        <v>0.09143316457570294</v>
      </c>
    </row>
    <row r="6">
      <c r="A6" s="4" t="inlineStr">
        <is>
          <t>H</t>
        </is>
      </c>
      <c r="B6" s="14" t="n">
        <v>3</v>
      </c>
      <c r="C6" s="25" t="n">
        <v>26.25829840045317</v>
      </c>
      <c r="D6" s="22" t="n">
        <v>0.2663475193457446</v>
      </c>
      <c r="E6" s="22" t="n">
        <v>0.6102772824816237</v>
      </c>
      <c r="F6" s="22" t="n">
        <v>0.7845649755229195</v>
      </c>
      <c r="G6" s="25" t="n">
        <v>6.303600438248517</v>
      </c>
      <c r="H6" s="25" t="n">
        <v>18.51658087864134</v>
      </c>
      <c r="I6" s="22" t="n">
        <v>0.05126404819025376</v>
      </c>
      <c r="J6" s="22" t="n">
        <v>0.09171624295446779</v>
      </c>
    </row>
    <row r="7">
      <c r="A7" s="4" t="inlineStr">
        <is>
          <t>H</t>
        </is>
      </c>
      <c r="B7" s="14" t="n">
        <v>4</v>
      </c>
      <c r="C7" s="25" t="n">
        <v>39.03507537049039</v>
      </c>
      <c r="D7" s="22" t="n">
        <v>0.2885022240977092</v>
      </c>
      <c r="E7" s="22" t="n">
        <v>0.5525413219485328</v>
      </c>
      <c r="F7" s="22" t="n">
        <v>0.7541270017793594</v>
      </c>
      <c r="G7" s="25" t="n">
        <v>6.303600438248517</v>
      </c>
      <c r="H7" s="25" t="n">
        <v>26.05048364586172</v>
      </c>
      <c r="I7" s="22" t="n">
        <v>0.05322642747730222</v>
      </c>
      <c r="J7" s="22" t="n">
        <v>0.09062953534217799</v>
      </c>
    </row>
    <row r="8">
      <c r="A8" s="4" t="inlineStr">
        <is>
          <t>H</t>
        </is>
      </c>
      <c r="B8" s="14" t="n">
        <v>5</v>
      </c>
      <c r="C8" s="25" t="n">
        <v>67.73478483449657</v>
      </c>
      <c r="D8" s="22" t="n">
        <v>0.3304236211681073</v>
      </c>
      <c r="E8" s="22" t="n">
        <v>0.5027594985976973</v>
      </c>
      <c r="F8" s="22" t="n">
        <v>0.7177535587188613</v>
      </c>
      <c r="G8" s="25" t="n">
        <v>0</v>
      </c>
      <c r="H8" s="25" t="n">
        <v>37.79947549952672</v>
      </c>
      <c r="I8" s="22" t="n">
        <v>0.09139904408910704</v>
      </c>
      <c r="J8" s="22" t="n">
        <v>0.08930687859248865</v>
      </c>
    </row>
    <row r="9">
      <c r="A9" s="4" t="inlineStr">
        <is>
          <t>M</t>
        </is>
      </c>
      <c r="B9" s="14" t="n">
        <v>1</v>
      </c>
      <c r="C9" s="25" t="n">
        <v>8.220943761205294</v>
      </c>
      <c r="D9" s="22" t="n">
        <v>0.1000789667757265</v>
      </c>
      <c r="E9" s="22" t="n">
        <v>0.8749511718502516</v>
      </c>
      <c r="F9" s="22" t="n">
        <v>1</v>
      </c>
      <c r="G9" s="25" t="n">
        <v>6.303600438248517</v>
      </c>
      <c r="H9" s="25" t="n">
        <v>7.62278818472261</v>
      </c>
      <c r="I9" s="22" t="n">
        <v>0.01836549528759068</v>
      </c>
      <c r="J9" s="22" t="n">
        <v>0.1225891130383312</v>
      </c>
    </row>
    <row r="10">
      <c r="A10" s="4" t="inlineStr">
        <is>
          <t>M</t>
        </is>
      </c>
      <c r="B10" s="14" t="n">
        <v>2</v>
      </c>
      <c r="C10" s="25" t="n">
        <v>15.06507534093625</v>
      </c>
      <c r="D10" s="22" t="n">
        <v>0.1278117279541412</v>
      </c>
      <c r="E10" s="22" t="n">
        <v>0.5573505770314425</v>
      </c>
      <c r="F10" s="22" t="n">
        <v>0.8540924657534247</v>
      </c>
      <c r="G10" s="25" t="n">
        <v>6.303600438248517</v>
      </c>
      <c r="H10" s="25" t="n">
        <v>9.625103119302095</v>
      </c>
      <c r="I10" s="22" t="n">
        <v>0.03725086236125719</v>
      </c>
      <c r="J10" s="22" t="n">
        <v>0.1182546318284345</v>
      </c>
    </row>
    <row r="11">
      <c r="A11" s="4" t="inlineStr">
        <is>
          <t>M</t>
        </is>
      </c>
      <c r="B11" s="14" t="n">
        <v>3</v>
      </c>
      <c r="C11" s="25" t="n">
        <v>22.789244250418</v>
      </c>
      <c r="D11" s="22" t="n">
        <v>0.1430008860534954</v>
      </c>
      <c r="E11" s="22" t="n">
        <v>0.4546856376626829</v>
      </c>
      <c r="F11" s="22" t="n">
        <v>0.6190139840182648</v>
      </c>
      <c r="G11" s="25" t="n">
        <v>6.303600438248517</v>
      </c>
      <c r="H11" s="25" t="n">
        <v>11.98320641609059</v>
      </c>
      <c r="I11" s="22" t="n">
        <v>0.05013557461240958</v>
      </c>
      <c r="J11" s="22" t="n">
        <v>0.1040122345109671</v>
      </c>
    </row>
    <row r="12">
      <c r="A12" s="4" t="inlineStr">
        <is>
          <t>M</t>
        </is>
      </c>
      <c r="B12" s="14" t="n">
        <v>4</v>
      </c>
      <c r="C12" s="25" t="n">
        <v>34.48010670630391</v>
      </c>
      <c r="D12" s="22" t="n">
        <v>0.159219029977004</v>
      </c>
      <c r="E12" s="22" t="n">
        <v>0.3968568078220203</v>
      </c>
      <c r="F12" s="22" t="n">
        <v>0.4924429223744292</v>
      </c>
      <c r="G12" s="25" t="n">
        <v>6.303600438248517</v>
      </c>
      <c r="H12" s="25" t="n">
        <v>15.91498209493261</v>
      </c>
      <c r="I12" s="22" t="n">
        <v>0.0547507385456214</v>
      </c>
      <c r="J12" s="22" t="n">
        <v>0.1177811378312603</v>
      </c>
    </row>
    <row r="13">
      <c r="A13" s="4" t="inlineStr">
        <is>
          <t>M</t>
        </is>
      </c>
      <c r="B13" s="14" t="n">
        <v>5</v>
      </c>
      <c r="C13" s="25" t="n">
        <v>62.82966770704746</v>
      </c>
      <c r="D13" s="22" t="n">
        <v>0.1883770187870422</v>
      </c>
      <c r="E13" s="22" t="n">
        <v>0.338229335071116</v>
      </c>
      <c r="F13" s="22" t="n">
        <v>0.3395419520547945</v>
      </c>
      <c r="G13" s="25" t="n">
        <v>0.4497467459310651</v>
      </c>
      <c r="H13" s="25" t="n">
        <v>24.07750780202309</v>
      </c>
      <c r="I13" s="22" t="n">
        <v>0.06879387571046225</v>
      </c>
      <c r="J13" s="22" t="n">
        <v>0.1180706210236555</v>
      </c>
    </row>
    <row r="15">
      <c r="A15" s="2" t="inlineStr">
        <is>
          <t>Cohorte sintética que empieza a cotizar a los 25 en 2026. Ingreso lognormal y densidad Beta por sexo calibrados con la SP (2026);</t>
        </is>
      </c>
    </row>
    <row r="16">
      <c r="A16" s="2" t="inlineStr">
        <is>
          <t>lagunas como rachas de empleo formal (cadena de Markov); supuestos de mercado de consenso 2026; fondo por defecto salvo cv_*.</t>
        </is>
      </c>
    </row>
    <row r="17">
      <c r="A17" s="2" t="inlineStr">
        <is>
          <t>Métricas por persona: mediana sobre 400 escenarios de mercado comunes a toda la cohorte.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</cols>
  <sheetData>
    <row r="1">
      <c r="A1" s="21" t="inlineStr">
        <is>
          <t>Descomposición de Shapley de la brecha de pensión total mediana mujer/hombre</t>
        </is>
      </c>
    </row>
    <row r="3">
      <c r="A3" s="3" t="inlineStr">
        <is>
          <t>factor</t>
        </is>
      </c>
      <c r="B3" s="3" t="inlineStr">
        <is>
          <t>aporte_uf</t>
        </is>
      </c>
      <c r="C3" s="3" t="inlineStr">
        <is>
          <t>aporte_pp_brecha</t>
        </is>
      </c>
    </row>
    <row r="4">
      <c r="A4" s="4" t="inlineStr">
        <is>
          <t>Densidad de cotización</t>
        </is>
      </c>
      <c r="B4" s="25" t="n">
        <v>1.720811102106209</v>
      </c>
      <c r="C4" s="22" t="n">
        <v>0.09740884310220008</v>
      </c>
    </row>
    <row r="5">
      <c r="A5" s="4" t="inlineStr">
        <is>
          <t>Nivel de ingreso</t>
        </is>
      </c>
      <c r="B5" s="25" t="n">
        <v>1.163122203027938</v>
      </c>
      <c r="C5" s="22" t="n">
        <v>0.065840107635731</v>
      </c>
    </row>
    <row r="6">
      <c r="A6" s="4" t="inlineStr">
        <is>
          <t>Edad de pensión (60 vs 65)</t>
        </is>
      </c>
      <c r="B6" s="25" t="n">
        <v>2.612171037987555</v>
      </c>
      <c r="C6" s="22" t="n">
        <v>0.1478654795311381</v>
      </c>
    </row>
    <row r="7">
      <c r="A7" s="4" t="inlineStr">
        <is>
          <t>Esperanza de vida (tabla de mortalidad)</t>
        </is>
      </c>
      <c r="B7" s="25" t="n">
        <v>0.7289185736611913</v>
      </c>
      <c r="C7" s="22" t="n">
        <v>0.0412614231097982</v>
      </c>
    </row>
    <row r="8">
      <c r="A8" s="4" t="inlineStr">
        <is>
          <t>Residuo (fondo por defecto por sexo y muestreo)</t>
        </is>
      </c>
      <c r="B8" s="25" t="n">
        <v>0.1177015996468711</v>
      </c>
      <c r="C8" s="22" t="n">
        <v>0.006662658463120724</v>
      </c>
    </row>
    <row r="10">
      <c r="A10" s="2" t="inlineStr">
        <is>
          <t>Aporte = efecto marginal promedio de asignar a las mujeres la característica de los hombres, sobre todos los órdenes.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Incertidumbre de parámetros: intervalos de confianza de 90% por bootstrap (percentiles 5–95)</t>
        </is>
      </c>
    </row>
    <row r="3">
      <c r="A3" s="3" t="inlineStr">
        <is>
          <t>bloque</t>
        </is>
      </c>
      <c r="B3" s="3" t="inlineStr">
        <is>
          <t>regimen</t>
        </is>
      </c>
      <c r="C3" s="3" t="inlineStr">
        <is>
          <t>fondo</t>
        </is>
      </c>
      <c r="D3" s="3" t="inlineStr">
        <is>
          <t>metrica</t>
        </is>
      </c>
      <c r="E3" s="3" t="inlineStr">
        <is>
          <t>p05</t>
        </is>
      </c>
      <c r="F3" s="3" t="inlineStr">
        <is>
          <t>mediana</t>
        </is>
      </c>
      <c r="G3" s="3" t="inlineStr">
        <is>
          <t>p95</t>
        </is>
      </c>
    </row>
    <row r="4">
      <c r="A4" s="4" t="inlineStr">
        <is>
          <t>Pensiones (historia remuestreada)</t>
        </is>
      </c>
      <c r="B4" s="4" t="n"/>
      <c r="C4" s="4" t="n"/>
      <c r="D4" s="4" t="inlineStr">
        <is>
          <t>prima_real_A_vs_E</t>
        </is>
      </c>
      <c r="E4" s="24" t="n">
        <v>-0.02033327831223074</v>
      </c>
      <c r="F4" s="24" t="n">
        <v>0.03465617575860558</v>
      </c>
      <c r="G4" s="24" t="n">
        <v>0.07218940162832164</v>
      </c>
    </row>
    <row r="5">
      <c r="A5" s="4" t="inlineStr">
        <is>
          <t>Pensiones (historia remuestreada)</t>
        </is>
      </c>
      <c r="B5" s="4" t="n"/>
      <c r="C5" s="4" t="n"/>
      <c r="D5" s="4" t="inlineStr">
        <is>
          <t>cv_vs_defecto_mediana</t>
        </is>
      </c>
      <c r="E5" s="24" t="n">
        <v>-0.1414839611704128</v>
      </c>
      <c r="F5" s="24" t="n">
        <v>0.3976446313068648</v>
      </c>
      <c r="G5" s="24" t="n">
        <v>1.19503782136728</v>
      </c>
    </row>
    <row r="6">
      <c r="A6" s="4" t="inlineStr">
        <is>
          <t>Pensiones (historia remuestreada)</t>
        </is>
      </c>
      <c r="B6" s="4" t="n"/>
      <c r="C6" s="4" t="n"/>
      <c r="D6" s="4" t="inlineStr">
        <is>
          <t>cv_vs_defecto_p5</t>
        </is>
      </c>
      <c r="E6" s="24" t="n">
        <v>-0.2811320009079319</v>
      </c>
      <c r="F6" s="24" t="n">
        <v>0.07979349629326404</v>
      </c>
      <c r="G6" s="24" t="n">
        <v>0.6815268945114384</v>
      </c>
    </row>
    <row r="7">
      <c r="A7" s="4" t="inlineStr">
        <is>
          <t>Pensiones (historia remuestreada)</t>
        </is>
      </c>
      <c r="B7" s="4" t="n"/>
      <c r="C7" s="4" t="n"/>
      <c r="D7" s="4" t="inlineStr">
        <is>
          <t>prob_cv_supera_defecto</t>
        </is>
      </c>
      <c r="E7" s="24" t="n">
        <v>0.22735</v>
      </c>
      <c r="F7" s="24" t="n">
        <v>0.92075</v>
      </c>
      <c r="G7" s="24" t="n">
        <v>0.999525</v>
      </c>
    </row>
    <row r="8">
      <c r="A8" s="4" t="inlineStr">
        <is>
          <t>Pensiones (historia remuestreada)</t>
        </is>
      </c>
      <c r="B8" s="4" t="n"/>
      <c r="C8" s="4" t="n"/>
      <c r="D8" s="4" t="inlineStr">
        <is>
          <t>reactivo_vs_defecto_mediana</t>
        </is>
      </c>
      <c r="E8" s="24" t="n">
        <v>-0.08690068468870106</v>
      </c>
      <c r="F8" s="24" t="n">
        <v>-0.03463701503838251</v>
      </c>
      <c r="G8" s="24" t="n">
        <v>0.08547595265559825</v>
      </c>
    </row>
    <row r="9">
      <c r="A9" s="4" t="inlineStr">
        <is>
          <t>Pensiones (historia remuestreada)</t>
        </is>
      </c>
      <c r="B9" s="4" t="n"/>
      <c r="C9" s="4" t="n"/>
      <c r="D9" s="4" t="inlineStr">
        <is>
          <t>mediana_defecto_uf</t>
        </is>
      </c>
      <c r="E9" s="24" t="n">
        <v>6.425983355851145</v>
      </c>
      <c r="F9" s="24" t="n">
        <v>10.94096361298217</v>
      </c>
      <c r="G9" s="24" t="n">
        <v>18.88060876426169</v>
      </c>
    </row>
    <row r="10">
      <c r="A10" s="4" t="inlineStr">
        <is>
          <t>HMM (paramétrico)</t>
        </is>
      </c>
      <c r="B10" s="14" t="n">
        <v>0</v>
      </c>
      <c r="C10" s="4" t="n"/>
      <c r="D10" s="4" t="inlineStr">
        <is>
          <t>persistencia</t>
        </is>
      </c>
      <c r="E10" s="24" t="n">
        <v>0.89955905324987</v>
      </c>
      <c r="F10" s="24" t="n">
        <v>0.9501451205084048</v>
      </c>
      <c r="G10" s="24" t="n">
        <v>0.9784178788593505</v>
      </c>
    </row>
    <row r="11">
      <c r="A11" s="4" t="inlineStr">
        <is>
          <t>HMM (paramétrico)</t>
        </is>
      </c>
      <c r="B11" s="14" t="n">
        <v>1</v>
      </c>
      <c r="C11" s="4" t="n"/>
      <c r="D11" s="4" t="inlineStr">
        <is>
          <t>persistencia</t>
        </is>
      </c>
      <c r="E11" s="24" t="n">
        <v>0.6474081362214877</v>
      </c>
      <c r="F11" s="24" t="n">
        <v>0.9833498083623404</v>
      </c>
      <c r="G11" s="24" t="n">
        <v>0.9999999999978014</v>
      </c>
    </row>
    <row r="12">
      <c r="A12" s="4" t="inlineStr">
        <is>
          <t>HMM (paramétrico)</t>
        </is>
      </c>
      <c r="B12" s="14" t="n">
        <v>2</v>
      </c>
      <c r="C12" s="4" t="n"/>
      <c r="D12" s="4" t="inlineStr">
        <is>
          <t>persistencia</t>
        </is>
      </c>
      <c r="E12" s="24" t="n">
        <v>0.2660517766209279</v>
      </c>
      <c r="F12" s="24" t="n">
        <v>0.583671287299481</v>
      </c>
      <c r="G12" s="24" t="n">
        <v>0.7756626825602544</v>
      </c>
    </row>
    <row r="13">
      <c r="A13" s="4" t="inlineStr">
        <is>
          <t>HMM (paramétrico)</t>
        </is>
      </c>
      <c r="B13" s="14" t="n">
        <v>0</v>
      </c>
      <c r="C13" s="4" t="n"/>
      <c r="D13" s="4" t="inlineStr">
        <is>
          <t>duracion_meses</t>
        </is>
      </c>
      <c r="E13" s="24" t="n">
        <v>9.957652483720244</v>
      </c>
      <c r="F13" s="24" t="n">
        <v>20.05835072661364</v>
      </c>
      <c r="G13" s="24" t="n">
        <v>46.33960453807429</v>
      </c>
    </row>
    <row r="14">
      <c r="A14" s="4" t="inlineStr">
        <is>
          <t>HMM (paramétrico)</t>
        </is>
      </c>
      <c r="B14" s="14" t="n">
        <v>1</v>
      </c>
      <c r="C14" s="4" t="n"/>
      <c r="D14" s="4" t="inlineStr">
        <is>
          <t>duracion_meses</t>
        </is>
      </c>
      <c r="E14" s="24" t="n">
        <v>2.837891664061405</v>
      </c>
      <c r="F14" s="24" t="n">
        <v>60.09146038435532</v>
      </c>
      <c r="G14" s="24" t="n">
        <v>454864035038.6853</v>
      </c>
    </row>
    <row r="15">
      <c r="A15" s="4" t="inlineStr">
        <is>
          <t>HMM (paramétrico)</t>
        </is>
      </c>
      <c r="B15" s="14" t="n">
        <v>2</v>
      </c>
      <c r="C15" s="4" t="n"/>
      <c r="D15" s="4" t="inlineStr">
        <is>
          <t>duracion_meses</t>
        </is>
      </c>
      <c r="E15" s="24" t="n">
        <v>1.362495000031719</v>
      </c>
      <c r="F15" s="24" t="n">
        <v>2.401949922421466</v>
      </c>
      <c r="G15" s="24" t="n">
        <v>4.45763134079152</v>
      </c>
    </row>
    <row r="16">
      <c r="A16" s="4" t="inlineStr">
        <is>
          <t>HMM (paramétrico)</t>
        </is>
      </c>
      <c r="B16" s="14" t="n">
        <v>0</v>
      </c>
      <c r="C16" s="4" t="n"/>
      <c r="D16" s="4" t="inlineStr">
        <is>
          <t>prob_estacionaria</t>
        </is>
      </c>
      <c r="E16" s="24" t="n">
        <v>3.910517304810142e-10</v>
      </c>
      <c r="F16" s="24" t="n">
        <v>0.4847451207069491</v>
      </c>
      <c r="G16" s="24" t="n">
        <v>0.8871964979924858</v>
      </c>
    </row>
    <row r="17">
      <c r="A17" s="4" t="inlineStr">
        <is>
          <t>HMM (paramétrico)</t>
        </is>
      </c>
      <c r="B17" s="14" t="n">
        <v>1</v>
      </c>
      <c r="C17" s="4" t="n"/>
      <c r="D17" s="4" t="inlineStr">
        <is>
          <t>prob_estacionaria</t>
        </is>
      </c>
      <c r="E17" s="24" t="n">
        <v>0.0322741205452757</v>
      </c>
      <c r="F17" s="24" t="n">
        <v>0.4256052965692377</v>
      </c>
      <c r="G17" s="24" t="n">
        <v>0.9999999995623813</v>
      </c>
    </row>
    <row r="18">
      <c r="A18" s="4" t="inlineStr">
        <is>
          <t>HMM (paramétrico)</t>
        </is>
      </c>
      <c r="B18" s="14" t="n">
        <v>2</v>
      </c>
      <c r="C18" s="4" t="n"/>
      <c r="D18" s="4" t="inlineStr">
        <is>
          <t>prob_estacionaria</t>
        </is>
      </c>
      <c r="E18" s="24" t="n">
        <v>3.683308530043981e-11</v>
      </c>
      <c r="F18" s="24" t="n">
        <v>0.06387070500183775</v>
      </c>
      <c r="G18" s="24" t="n">
        <v>0.1363100918200183</v>
      </c>
    </row>
    <row r="19">
      <c r="A19" s="4" t="inlineStr">
        <is>
          <t>HMM (paramétrico)</t>
        </is>
      </c>
      <c r="B19" s="14" t="n">
        <v>0</v>
      </c>
      <c r="C19" s="4" t="n"/>
      <c r="D19" s="4" t="inlineStr">
        <is>
          <t>vol_A</t>
        </is>
      </c>
      <c r="E19" s="24" t="n">
        <v>0.08072897392403221</v>
      </c>
      <c r="F19" s="24" t="n">
        <v>0.09235118502937775</v>
      </c>
      <c r="G19" s="24" t="n">
        <v>0.1032374440937383</v>
      </c>
    </row>
    <row r="20">
      <c r="A20" s="4" t="inlineStr">
        <is>
          <t>HMM (paramétrico)</t>
        </is>
      </c>
      <c r="B20" s="14" t="n">
        <v>1</v>
      </c>
      <c r="C20" s="4" t="n"/>
      <c r="D20" s="4" t="inlineStr">
        <is>
          <t>vol_A</t>
        </is>
      </c>
      <c r="E20" s="24" t="n">
        <v>0.08364058419755244</v>
      </c>
      <c r="F20" s="24" t="n">
        <v>0.09981075731458454</v>
      </c>
      <c r="G20" s="24" t="n">
        <v>0.1162739099861504</v>
      </c>
    </row>
    <row r="21">
      <c r="A21" s="4" t="inlineStr">
        <is>
          <t>HMM (paramétrico)</t>
        </is>
      </c>
      <c r="B21" s="14" t="n">
        <v>2</v>
      </c>
      <c r="C21" s="4" t="n"/>
      <c r="D21" s="4" t="inlineStr">
        <is>
          <t>vol_A</t>
        </is>
      </c>
      <c r="E21" s="24" t="n">
        <v>0.1564126355374283</v>
      </c>
      <c r="F21" s="24" t="n">
        <v>0.2530674011517392</v>
      </c>
      <c r="G21" s="24" t="n">
        <v>0.3329043933475438</v>
      </c>
    </row>
    <row r="22">
      <c r="A22" s="4" t="inlineStr">
        <is>
          <t>HMM (paramétrico)</t>
        </is>
      </c>
      <c r="B22" s="14" t="n">
        <v>0</v>
      </c>
      <c r="C22" s="4" t="n"/>
      <c r="D22" s="4" t="inlineStr">
        <is>
          <t>vol_B</t>
        </is>
      </c>
      <c r="E22" s="24" t="n">
        <v>0.06005314301343295</v>
      </c>
      <c r="F22" s="24" t="n">
        <v>0.06867665571737128</v>
      </c>
      <c r="G22" s="24" t="n">
        <v>0.07771607927689948</v>
      </c>
    </row>
    <row r="23">
      <c r="A23" s="4" t="inlineStr">
        <is>
          <t>HMM (paramétrico)</t>
        </is>
      </c>
      <c r="B23" s="14" t="n">
        <v>1</v>
      </c>
      <c r="C23" s="4" t="n"/>
      <c r="D23" s="4" t="inlineStr">
        <is>
          <t>vol_B</t>
        </is>
      </c>
      <c r="E23" s="24" t="n">
        <v>0.0687710602341676</v>
      </c>
      <c r="F23" s="24" t="n">
        <v>0.08079676866842468</v>
      </c>
      <c r="G23" s="24" t="n">
        <v>0.09261084260112568</v>
      </c>
    </row>
    <row r="24">
      <c r="A24" s="4" t="inlineStr">
        <is>
          <t>HMM (paramétrico)</t>
        </is>
      </c>
      <c r="B24" s="14" t="n">
        <v>2</v>
      </c>
      <c r="C24" s="4" t="n"/>
      <c r="D24" s="4" t="inlineStr">
        <is>
          <t>vol_B</t>
        </is>
      </c>
      <c r="E24" s="24" t="n">
        <v>0.1154395579469629</v>
      </c>
      <c r="F24" s="24" t="n">
        <v>0.1828913218922641</v>
      </c>
      <c r="G24" s="24" t="n">
        <v>0.2428672856036235</v>
      </c>
    </row>
    <row r="25">
      <c r="A25" s="4" t="inlineStr">
        <is>
          <t>HMM (paramétrico)</t>
        </is>
      </c>
      <c r="B25" s="14" t="n">
        <v>0</v>
      </c>
      <c r="C25" s="4" t="n"/>
      <c r="D25" s="4" t="inlineStr">
        <is>
          <t>vol_C</t>
        </is>
      </c>
      <c r="E25" s="24" t="n">
        <v>0.04326168969124074</v>
      </c>
      <c r="F25" s="24" t="n">
        <v>0.04878185657965282</v>
      </c>
      <c r="G25" s="24" t="n">
        <v>0.05514623373205125</v>
      </c>
    </row>
    <row r="26">
      <c r="A26" s="4" t="inlineStr">
        <is>
          <t>HMM (paramétrico)</t>
        </is>
      </c>
      <c r="B26" s="14" t="n">
        <v>1</v>
      </c>
      <c r="C26" s="4" t="n"/>
      <c r="D26" s="4" t="inlineStr">
        <is>
          <t>vol_C</t>
        </is>
      </c>
      <c r="E26" s="24" t="n">
        <v>0.05935831197621191</v>
      </c>
      <c r="F26" s="24" t="n">
        <v>0.07051952792886923</v>
      </c>
      <c r="G26" s="24" t="n">
        <v>0.08185603289511963</v>
      </c>
    </row>
    <row r="27">
      <c r="A27" s="4" t="inlineStr">
        <is>
          <t>HMM (paramétrico)</t>
        </is>
      </c>
      <c r="B27" s="14" t="n">
        <v>2</v>
      </c>
      <c r="C27" s="4" t="n"/>
      <c r="D27" s="4" t="inlineStr">
        <is>
          <t>vol_C</t>
        </is>
      </c>
      <c r="E27" s="24" t="n">
        <v>0.0783586503246361</v>
      </c>
      <c r="F27" s="24" t="n">
        <v>0.1262760922522181</v>
      </c>
      <c r="G27" s="24" t="n">
        <v>0.164751908648498</v>
      </c>
    </row>
    <row r="28">
      <c r="A28" s="4" t="inlineStr">
        <is>
          <t>HMM (paramétrico)</t>
        </is>
      </c>
      <c r="B28" s="14" t="n">
        <v>0</v>
      </c>
      <c r="C28" s="4" t="n"/>
      <c r="D28" s="4" t="inlineStr">
        <is>
          <t>vol_D</t>
        </is>
      </c>
      <c r="E28" s="24" t="n">
        <v>0.02729406917385757</v>
      </c>
      <c r="F28" s="24" t="n">
        <v>0.0313933118895233</v>
      </c>
      <c r="G28" s="24" t="n">
        <v>0.0359455172190928</v>
      </c>
    </row>
    <row r="29">
      <c r="A29" s="4" t="inlineStr">
        <is>
          <t>HMM (paramétrico)</t>
        </is>
      </c>
      <c r="B29" s="14" t="n">
        <v>1</v>
      </c>
      <c r="C29" s="4" t="n"/>
      <c r="D29" s="4" t="inlineStr">
        <is>
          <t>vol_D</t>
        </is>
      </c>
      <c r="E29" s="24" t="n">
        <v>0.05929960760715521</v>
      </c>
      <c r="F29" s="24" t="n">
        <v>0.07988590968454415</v>
      </c>
      <c r="G29" s="24" t="n">
        <v>0.09224665384603417</v>
      </c>
    </row>
    <row r="30">
      <c r="A30" s="4" t="inlineStr">
        <is>
          <t>HMM (paramétrico)</t>
        </is>
      </c>
      <c r="B30" s="14" t="n">
        <v>2</v>
      </c>
      <c r="C30" s="4" t="n"/>
      <c r="D30" s="4" t="inlineStr">
        <is>
          <t>vol_D</t>
        </is>
      </c>
      <c r="E30" s="24" t="n">
        <v>0.06581503427343903</v>
      </c>
      <c r="F30" s="24" t="n">
        <v>0.09200615930554423</v>
      </c>
      <c r="G30" s="24" t="n">
        <v>0.1203053956782151</v>
      </c>
    </row>
    <row r="31">
      <c r="A31" s="4" t="inlineStr">
        <is>
          <t>HMM (paramétrico)</t>
        </is>
      </c>
      <c r="B31" s="14" t="n">
        <v>0</v>
      </c>
      <c r="C31" s="4" t="n"/>
      <c r="D31" s="4" t="inlineStr">
        <is>
          <t>vol_E</t>
        </is>
      </c>
      <c r="E31" s="24" t="n">
        <v>0.02153802834504729</v>
      </c>
      <c r="F31" s="24" t="n">
        <v>0.02444829465876444</v>
      </c>
      <c r="G31" s="24" t="n">
        <v>0.02714313140970778</v>
      </c>
    </row>
    <row r="32">
      <c r="A32" s="4" t="inlineStr">
        <is>
          <t>HMM (paramétrico)</t>
        </is>
      </c>
      <c r="B32" s="14" t="n">
        <v>1</v>
      </c>
      <c r="C32" s="4" t="n"/>
      <c r="D32" s="4" t="inlineStr">
        <is>
          <t>vol_E</t>
        </is>
      </c>
      <c r="E32" s="24" t="n">
        <v>0.05854130433802626</v>
      </c>
      <c r="F32" s="24" t="n">
        <v>0.08849692842917048</v>
      </c>
      <c r="G32" s="24" t="n">
        <v>0.1022842599529493</v>
      </c>
    </row>
    <row r="33">
      <c r="A33" s="4" t="inlineStr">
        <is>
          <t>HMM (paramétrico)</t>
        </is>
      </c>
      <c r="B33" s="14" t="n">
        <v>2</v>
      </c>
      <c r="C33" s="4" t="n"/>
      <c r="D33" s="4" t="inlineStr">
        <is>
          <t>vol_E</t>
        </is>
      </c>
      <c r="E33" s="24" t="n">
        <v>0.04960653960172515</v>
      </c>
      <c r="F33" s="24" t="n">
        <v>0.07487598553830438</v>
      </c>
      <c r="G33" s="24" t="n">
        <v>0.09562749248288493</v>
      </c>
    </row>
    <row r="34">
      <c r="A34" s="4" t="inlineStr">
        <is>
          <t>HMM (paramétrico)</t>
        </is>
      </c>
      <c r="B34" s="14" t="n">
        <v>0</v>
      </c>
      <c r="C34" s="4" t="n"/>
      <c r="D34" s="4" t="inlineStr">
        <is>
          <t>pct_meses_reg1_desde_quiebre</t>
        </is>
      </c>
      <c r="E34" s="24" t="n">
        <v>0.2823863636363637</v>
      </c>
      <c r="F34" s="24" t="n">
        <v>0.9090909090909091</v>
      </c>
      <c r="G34" s="24" t="n">
        <v>1</v>
      </c>
    </row>
    <row r="35">
      <c r="A35" s="4" t="inlineStr">
        <is>
          <t>HMM (paramétrico)</t>
        </is>
      </c>
      <c r="B35" s="14" t="n">
        <v>1</v>
      </c>
      <c r="C35" s="4" t="n"/>
      <c r="D35" s="4" t="inlineStr">
        <is>
          <t>pct_meses_reg1_desde_quiebre</t>
        </is>
      </c>
      <c r="E35" s="24" t="n">
        <v>0.2823863636363637</v>
      </c>
      <c r="F35" s="24" t="n">
        <v>0.9090909090909091</v>
      </c>
      <c r="G35" s="24" t="n">
        <v>1</v>
      </c>
    </row>
    <row r="36">
      <c r="A36" s="4" t="inlineStr">
        <is>
          <t>HMM (paramétrico)</t>
        </is>
      </c>
      <c r="B36" s="14" t="n">
        <v>2</v>
      </c>
      <c r="C36" s="4" t="n"/>
      <c r="D36" s="4" t="inlineStr">
        <is>
          <t>pct_meses_reg1_desde_quiebre</t>
        </is>
      </c>
      <c r="E36" s="24" t="n">
        <v>0.2823863636363637</v>
      </c>
      <c r="F36" s="24" t="n">
        <v>0.9090909090909091</v>
      </c>
      <c r="G36" s="24" t="n">
        <v>1</v>
      </c>
    </row>
    <row r="37">
      <c r="A37" s="4" t="inlineStr">
        <is>
          <t>GARCH (residuos filtrados)</t>
        </is>
      </c>
      <c r="B37" s="4" t="n"/>
      <c r="C37" s="4" t="inlineStr">
        <is>
          <t>A</t>
        </is>
      </c>
      <c r="D37" s="4" t="inlineStr">
        <is>
          <t>alpha</t>
        </is>
      </c>
      <c r="E37" s="24" t="n">
        <v>0.07144614325844531</v>
      </c>
      <c r="F37" s="24" t="n">
        <v>0.08754058087794941</v>
      </c>
      <c r="G37" s="24" t="n">
        <v>0.1047518854535187</v>
      </c>
    </row>
    <row r="38">
      <c r="A38" s="4" t="inlineStr">
        <is>
          <t>GARCH (residuos filtrados)</t>
        </is>
      </c>
      <c r="B38" s="4" t="n"/>
      <c r="C38" s="4" t="inlineStr">
        <is>
          <t>B</t>
        </is>
      </c>
      <c r="D38" s="4" t="inlineStr">
        <is>
          <t>alpha</t>
        </is>
      </c>
      <c r="E38" s="24" t="n">
        <v>0.07088467206040881</v>
      </c>
      <c r="F38" s="24" t="n">
        <v>0.08319216147796728</v>
      </c>
      <c r="G38" s="24" t="n">
        <v>0.09794931987327024</v>
      </c>
    </row>
    <row r="39">
      <c r="A39" s="4" t="inlineStr">
        <is>
          <t>GARCH (residuos filtrados)</t>
        </is>
      </c>
      <c r="B39" s="4" t="n"/>
      <c r="C39" s="4" t="inlineStr">
        <is>
          <t>C</t>
        </is>
      </c>
      <c r="D39" s="4" t="inlineStr">
        <is>
          <t>alpha</t>
        </is>
      </c>
      <c r="E39" s="24" t="n">
        <v>0.07743559641469437</v>
      </c>
      <c r="F39" s="24" t="n">
        <v>0.09323644048369883</v>
      </c>
      <c r="G39" s="24" t="n">
        <v>0.1064908875409975</v>
      </c>
    </row>
    <row r="40">
      <c r="A40" s="4" t="inlineStr">
        <is>
          <t>GARCH (residuos filtrados)</t>
        </is>
      </c>
      <c r="B40" s="4" t="n"/>
      <c r="C40" s="4" t="inlineStr">
        <is>
          <t>D</t>
        </is>
      </c>
      <c r="D40" s="4" t="inlineStr">
        <is>
          <t>alpha</t>
        </is>
      </c>
      <c r="E40" s="24" t="n">
        <v>0.1014273304397348</v>
      </c>
      <c r="F40" s="24" t="n">
        <v>0.1229886920436335</v>
      </c>
      <c r="G40" s="24" t="n">
        <v>0.1458810224153635</v>
      </c>
    </row>
    <row r="41">
      <c r="A41" s="4" t="inlineStr">
        <is>
          <t>GARCH (residuos filtrados)</t>
        </is>
      </c>
      <c r="B41" s="4" t="n"/>
      <c r="C41" s="4" t="inlineStr">
        <is>
          <t>E</t>
        </is>
      </c>
      <c r="D41" s="4" t="inlineStr">
        <is>
          <t>alpha</t>
        </is>
      </c>
      <c r="E41" s="24" t="n">
        <v>0.08009149425301412</v>
      </c>
      <c r="F41" s="24" t="n">
        <v>0.0962849069734741</v>
      </c>
      <c r="G41" s="24" t="n">
        <v>0.1147972241326145</v>
      </c>
    </row>
    <row r="42">
      <c r="A42" s="4" t="inlineStr">
        <is>
          <t>GARCH (residuos filtrados)</t>
        </is>
      </c>
      <c r="B42" s="4" t="n"/>
      <c r="C42" s="4" t="inlineStr">
        <is>
          <t>A</t>
        </is>
      </c>
      <c r="D42" s="4" t="inlineStr">
        <is>
          <t>beta</t>
        </is>
      </c>
      <c r="E42" s="24" t="n">
        <v>0.870869662087573</v>
      </c>
      <c r="F42" s="24" t="n">
        <v>0.8901119225657519</v>
      </c>
      <c r="G42" s="24" t="n">
        <v>0.9087228392715047</v>
      </c>
    </row>
    <row r="43">
      <c r="A43" s="4" t="inlineStr">
        <is>
          <t>GARCH (residuos filtrados)</t>
        </is>
      </c>
      <c r="B43" s="4" t="n"/>
      <c r="C43" s="4" t="inlineStr">
        <is>
          <t>B</t>
        </is>
      </c>
      <c r="D43" s="4" t="inlineStr">
        <is>
          <t>beta</t>
        </is>
      </c>
      <c r="E43" s="24" t="n">
        <v>0.8847315189449467</v>
      </c>
      <c r="F43" s="24" t="n">
        <v>0.9005922259810597</v>
      </c>
      <c r="G43" s="24" t="n">
        <v>0.9158012795043712</v>
      </c>
    </row>
    <row r="44">
      <c r="A44" s="4" t="inlineStr">
        <is>
          <t>GARCH (residuos filtrados)</t>
        </is>
      </c>
      <c r="B44" s="4" t="n"/>
      <c r="C44" s="4" t="inlineStr">
        <is>
          <t>C</t>
        </is>
      </c>
      <c r="D44" s="4" t="inlineStr">
        <is>
          <t>beta</t>
        </is>
      </c>
      <c r="E44" s="24" t="n">
        <v>0.8732655999838247</v>
      </c>
      <c r="F44" s="24" t="n">
        <v>0.8916758752359082</v>
      </c>
      <c r="G44" s="24" t="n">
        <v>0.9107327299916633</v>
      </c>
    </row>
    <row r="45">
      <c r="A45" s="4" t="inlineStr">
        <is>
          <t>GARCH (residuos filtrados)</t>
        </is>
      </c>
      <c r="B45" s="4" t="n"/>
      <c r="C45" s="4" t="inlineStr">
        <is>
          <t>D</t>
        </is>
      </c>
      <c r="D45" s="4" t="inlineStr">
        <is>
          <t>beta</t>
        </is>
      </c>
      <c r="E45" s="24" t="n">
        <v>0.8540189775846361</v>
      </c>
      <c r="F45" s="24" t="n">
        <v>0.8744521527367413</v>
      </c>
      <c r="G45" s="24" t="n">
        <v>0.8905375360706199</v>
      </c>
    </row>
    <row r="46">
      <c r="A46" s="4" t="inlineStr">
        <is>
          <t>GARCH (residuos filtrados)</t>
        </is>
      </c>
      <c r="B46" s="4" t="n"/>
      <c r="C46" s="4" t="inlineStr">
        <is>
          <t>E</t>
        </is>
      </c>
      <c r="D46" s="4" t="inlineStr">
        <is>
          <t>beta</t>
        </is>
      </c>
      <c r="E46" s="24" t="n">
        <v>0.8808514806269054</v>
      </c>
      <c r="F46" s="24" t="n">
        <v>0.9015989580759767</v>
      </c>
      <c r="G46" s="24" t="n">
        <v>0.9149080365003966</v>
      </c>
    </row>
    <row r="47">
      <c r="A47" s="4" t="inlineStr">
        <is>
          <t>GARCH (residuos filtrados)</t>
        </is>
      </c>
      <c r="B47" s="4" t="n"/>
      <c r="C47" s="4" t="inlineStr">
        <is>
          <t>A</t>
        </is>
      </c>
      <c r="D47" s="4" t="inlineStr">
        <is>
          <t>persistencia</t>
        </is>
      </c>
      <c r="E47" s="24" t="n">
        <v>0.9670784595380398</v>
      </c>
      <c r="F47" s="24" t="n">
        <v>0.9792250356075567</v>
      </c>
      <c r="G47" s="24" t="n">
        <v>0.9868330247899996</v>
      </c>
    </row>
    <row r="48">
      <c r="A48" s="4" t="inlineStr">
        <is>
          <t>GARCH (residuos filtrados)</t>
        </is>
      </c>
      <c r="B48" s="4" t="n"/>
      <c r="C48" s="4" t="inlineStr">
        <is>
          <t>B</t>
        </is>
      </c>
      <c r="D48" s="4" t="inlineStr">
        <is>
          <t>persistencia</t>
        </is>
      </c>
      <c r="E48" s="24" t="n">
        <v>0.9762799801440459</v>
      </c>
      <c r="F48" s="24" t="n">
        <v>0.9850554519333534</v>
      </c>
      <c r="G48" s="24" t="n">
        <v>0.9912263501073139</v>
      </c>
    </row>
    <row r="49">
      <c r="A49" s="4" t="inlineStr">
        <is>
          <t>GARCH (residuos filtrados)</t>
        </is>
      </c>
      <c r="B49" s="4" t="n"/>
      <c r="C49" s="4" t="inlineStr">
        <is>
          <t>C</t>
        </is>
      </c>
      <c r="D49" s="4" t="inlineStr">
        <is>
          <t>persistencia</t>
        </is>
      </c>
      <c r="E49" s="24" t="n">
        <v>0.9754048323534276</v>
      </c>
      <c r="F49" s="24" t="n">
        <v>0.9841341292347877</v>
      </c>
      <c r="G49" s="24" t="n">
        <v>0.9921234543191135</v>
      </c>
    </row>
    <row r="50">
      <c r="A50" s="4" t="inlineStr">
        <is>
          <t>GARCH (residuos filtrados)</t>
        </is>
      </c>
      <c r="B50" s="4" t="n"/>
      <c r="C50" s="4" t="inlineStr">
        <is>
          <t>D</t>
        </is>
      </c>
      <c r="D50" s="4" t="inlineStr">
        <is>
          <t>persistencia</t>
        </is>
      </c>
      <c r="E50" s="24" t="n">
        <v>0.9901176467880164</v>
      </c>
      <c r="F50" s="24" t="n">
        <v>0.9998999999999985</v>
      </c>
      <c r="G50" s="24" t="n">
        <v>0.9998999999999998</v>
      </c>
    </row>
    <row r="51">
      <c r="A51" s="4" t="inlineStr">
        <is>
          <t>GARCH (residuos filtrados)</t>
        </is>
      </c>
      <c r="B51" s="4" t="n"/>
      <c r="C51" s="4" t="inlineStr">
        <is>
          <t>E</t>
        </is>
      </c>
      <c r="D51" s="4" t="inlineStr">
        <is>
          <t>persistencia</t>
        </is>
      </c>
      <c r="E51" s="24" t="n">
        <v>0.9841933602805655</v>
      </c>
      <c r="F51" s="24" t="n">
        <v>0.9982613817048831</v>
      </c>
      <c r="G51" s="24" t="n">
        <v>0.9998999999999977</v>
      </c>
    </row>
    <row r="52">
      <c r="A52" s="4" t="inlineStr">
        <is>
          <t>GARCH (residuos filtrados)</t>
        </is>
      </c>
      <c r="B52" s="4" t="n"/>
      <c r="C52" s="4" t="inlineStr">
        <is>
          <t>A</t>
        </is>
      </c>
      <c r="D52" s="4" t="inlineStr">
        <is>
          <t>vida_media_dias</t>
        </is>
      </c>
      <c r="E52" s="24" t="n">
        <v>20.70605048140716</v>
      </c>
      <c r="F52" s="24" t="n">
        <v>33.01688513161351</v>
      </c>
      <c r="G52" s="24" t="n">
        <v>52.29661231461255</v>
      </c>
    </row>
    <row r="53">
      <c r="A53" s="4" t="inlineStr">
        <is>
          <t>GARCH (residuos filtrados)</t>
        </is>
      </c>
      <c r="B53" s="4" t="n"/>
      <c r="C53" s="4" t="inlineStr">
        <is>
          <t>B</t>
        </is>
      </c>
      <c r="D53" s="4" t="inlineStr">
        <is>
          <t>vida_media_dias</t>
        </is>
      </c>
      <c r="E53" s="24" t="n">
        <v>28.87553394898189</v>
      </c>
      <c r="F53" s="24" t="n">
        <v>46.03415337449829</v>
      </c>
      <c r="G53" s="24" t="n">
        <v>78.73172057294317</v>
      </c>
    </row>
    <row r="54">
      <c r="A54" s="4" t="inlineStr">
        <is>
          <t>GARCH (residuos filtrados)</t>
        </is>
      </c>
      <c r="B54" s="4" t="n"/>
      <c r="C54" s="4" t="inlineStr">
        <is>
          <t>C</t>
        </is>
      </c>
      <c r="D54" s="4" t="inlineStr">
        <is>
          <t>vida_media_dias</t>
        </is>
      </c>
      <c r="E54" s="24" t="n">
        <v>27.83443881563776</v>
      </c>
      <c r="F54" s="24" t="n">
        <v>43.34097095526067</v>
      </c>
      <c r="G54" s="24" t="n">
        <v>87.6762263790841</v>
      </c>
    </row>
    <row r="55">
      <c r="A55" s="4" t="inlineStr">
        <is>
          <t>GARCH (residuos filtrados)</t>
        </is>
      </c>
      <c r="B55" s="4" t="n"/>
      <c r="C55" s="4" t="inlineStr">
        <is>
          <t>D</t>
        </is>
      </c>
      <c r="D55" s="4" t="inlineStr">
        <is>
          <t>vida_media_dias</t>
        </is>
      </c>
      <c r="E55" s="24" t="n">
        <v>69.85366986045834</v>
      </c>
      <c r="F55" s="24" t="n">
        <v>6931.125226125684</v>
      </c>
      <c r="G55" s="24" t="n">
        <v>6931.125226218031</v>
      </c>
    </row>
    <row r="56">
      <c r="A56" s="4" t="inlineStr">
        <is>
          <t>GARCH (residuos filtrados)</t>
        </is>
      </c>
      <c r="B56" s="4" t="n"/>
      <c r="C56" s="4" t="inlineStr">
        <is>
          <t>E</t>
        </is>
      </c>
      <c r="D56" s="4" t="inlineStr">
        <is>
          <t>vida_media_dias</t>
        </is>
      </c>
      <c r="E56" s="24" t="n">
        <v>43.50894829102631</v>
      </c>
      <c r="F56" s="24" t="n">
        <v>398.3488886663965</v>
      </c>
      <c r="G56" s="24" t="n">
        <v>6931.125226074509</v>
      </c>
    </row>
    <row r="57">
      <c r="A57" s="4" t="inlineStr">
        <is>
          <t>GARCH (residuos filtrados)</t>
        </is>
      </c>
      <c r="B57" s="4" t="n"/>
      <c r="C57" s="4" t="inlineStr">
        <is>
          <t>A</t>
        </is>
      </c>
      <c r="D57" s="4" t="inlineStr">
        <is>
          <t>vol_largo_plazo_anual</t>
        </is>
      </c>
      <c r="E57" s="24" t="n">
        <v>0.08601639430167922</v>
      </c>
      <c r="F57" s="24" t="n">
        <v>0.09666244575535782</v>
      </c>
      <c r="G57" s="24" t="n">
        <v>0.1118725413158892</v>
      </c>
    </row>
    <row r="58">
      <c r="A58" s="4" t="inlineStr">
        <is>
          <t>GARCH (residuos filtrados)</t>
        </is>
      </c>
      <c r="B58" s="4" t="n"/>
      <c r="C58" s="4" t="inlineStr">
        <is>
          <t>B</t>
        </is>
      </c>
      <c r="D58" s="4" t="inlineStr">
        <is>
          <t>vol_largo_plazo_anual</t>
        </is>
      </c>
      <c r="E58" s="24" t="n">
        <v>0.06485304098177484</v>
      </c>
      <c r="F58" s="24" t="n">
        <v>0.07387492737579771</v>
      </c>
      <c r="G58" s="24" t="n">
        <v>0.08647880318128304</v>
      </c>
    </row>
    <row r="59">
      <c r="A59" s="4" t="inlineStr">
        <is>
          <t>GARCH (residuos filtrados)</t>
        </is>
      </c>
      <c r="B59" s="4" t="n"/>
      <c r="C59" s="4" t="inlineStr">
        <is>
          <t>C</t>
        </is>
      </c>
      <c r="D59" s="4" t="inlineStr">
        <is>
          <t>vol_largo_plazo_anual</t>
        </is>
      </c>
      <c r="E59" s="24" t="n">
        <v>0.04647636256467483</v>
      </c>
      <c r="F59" s="24" t="n">
        <v>0.0534943488527789</v>
      </c>
      <c r="G59" s="24" t="n">
        <v>0.06887681095794745</v>
      </c>
    </row>
    <row r="60">
      <c r="A60" s="4" t="inlineStr">
        <is>
          <t>GARCH (residuos filtrados)</t>
        </is>
      </c>
      <c r="B60" s="4" t="n"/>
      <c r="C60" s="4" t="inlineStr">
        <is>
          <t>D</t>
        </is>
      </c>
      <c r="D60" s="4" t="inlineStr">
        <is>
          <t>vol_largo_plazo_anual</t>
        </is>
      </c>
      <c r="E60" s="24" t="n">
        <v>0.0406913987162384</v>
      </c>
      <c r="F60" s="24" t="n">
        <v>0.2641349192399155</v>
      </c>
      <c r="G60" s="24" t="n">
        <v>0.3833351467838463</v>
      </c>
    </row>
    <row r="61">
      <c r="A61" s="4" t="inlineStr">
        <is>
          <t>GARCH (residuos filtrados)</t>
        </is>
      </c>
      <c r="B61" s="4" t="n"/>
      <c r="C61" s="4" t="inlineStr">
        <is>
          <t>E</t>
        </is>
      </c>
      <c r="D61" s="4" t="inlineStr">
        <is>
          <t>vol_largo_plazo_anual</t>
        </is>
      </c>
      <c r="E61" s="24" t="n">
        <v>0.02334179411047317</v>
      </c>
      <c r="F61" s="24" t="n">
        <v>0.05546714102534646</v>
      </c>
      <c r="G61" s="24" t="n">
        <v>0.2775739985773444</v>
      </c>
    </row>
    <row r="63">
      <c r="A63" s="2" t="inlineStr">
        <is>
          <t>Pensiones: bootstrap estacionario de la historia (bloques de 12 meses en promedio), reestimando el HMM y repitiendo el Monte Carlo (hombre, 2.000 escenarios por historia).</t>
        </is>
      </c>
    </row>
    <row r="64">
      <c r="A64" s="2" t="inlineStr">
        <is>
          <t>HMM: bootstrap paramétrico con estados alineados a los originales (asignación húngara).</t>
        </is>
      </c>
    </row>
    <row r="65">
      <c r="A65" s="2" t="inlineStr">
        <is>
          <t>GARCH: simulación histórica filtrada (residuos estandarizados remuestreados). Persistencia 0,9999 = tope de la restricción (volatilidad integrada, vida media no acotada).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Valores cuota y patrimonio: Superintendencia de Pensiones, spensiones.cl/apps/valoresCuotaFondo/vcfAFP.php (2002-2026).</t>
        </is>
      </c>
    </row>
    <row r="2">
      <c r="A2" s="4" t="inlineStr">
        <is>
          <t>Afiliados por edad y AFP: SP, Series estadísticas del Sistema de Pensiones (trimestral).</t>
        </is>
      </c>
    </row>
    <row r="3">
      <c r="A3" s="4" t="inlineStr">
        <is>
          <t>Tablas de mortalidad CB-H-2020 y RV-M-2020: CMF, NCG N.º 495 (feb-2023).</t>
        </is>
      </c>
    </row>
    <row r="4">
      <c r="A4" s="4" t="inlineStr">
        <is>
          <t>TITRP 3,45%: SP, Circular N.º 2417 (07-07-2026).</t>
        </is>
      </c>
    </row>
    <row r="5">
      <c r="A5" s="4" t="inlineStr">
        <is>
          <t>UF diaria: Banco Central de Chile, Base de Datos Estadísticos (API SieteRestWS).</t>
        </is>
      </c>
    </row>
    <row r="6">
      <c r="A6" s="4" t="inlineStr">
        <is>
          <t>Régimen de inversión de los Fondos Generacionales: SP, Res. Ex. N.º 1195 (01-09-2026); bandas de 240 a 290 p.b. anuales, transición de 400 p.b. entre abr-2028 y mar-2031 (spensiones.cl/portal/institucional/594/w3-article-17131.html).</t>
        </is>
      </c>
    </row>
    <row r="7">
      <c r="A7" s="4" t="inlineStr">
        <is>
          <t>Trayectoria de inversión (máximo de activos de crecimiento por edad): SP, minuta de la consulta pública (jul-2026, articles-11315_nt_561_minuta.pdf), digitalizada; tope inicial de 95% de la versión definitiva (Res. Ex. N.º 1195).</t>
        </is>
      </c>
    </row>
    <row r="8">
      <c r="A8" s="4" t="inlineStr">
        <is>
          <t>Activos de crecimiento de cada multifondo: SP, Reporte mensual de inversiones, cartera al 31-03-2026 (tablas 16 y 18).</t>
        </is>
      </c>
    </row>
    <row r="9">
      <c r="A9" s="4" t="inlineStr">
        <is>
          <t>Renta fija en UF: tasa de bonos BCU/BTU a 10 años, mercado secundario, 2,52% (BCCh, 08-06-2026).</t>
        </is>
      </c>
    </row>
    <row r="10">
      <c r="A10" s="4" t="inlineStr">
        <is>
          <t>Renta variable global: MSCI ACWI 7,0% nominal USD e inflación EE.UU. 2,5% (J.P. Morgan AM, Long-Term Capital Market Assumptions 2026).</t>
        </is>
      </c>
    </row>
    <row r="11">
      <c r="A11" s="4" t="inlineStr">
        <is>
          <t>Reforma de pensiones: Ley N.º 21.735; Subsecretaría de Previsión Social, Nota Técnica (ago-2025), tablas 1, 3 y 5. PGU y umbrales de pensión base: SP (vigentes desde el 01-02-2026).</t>
        </is>
      </c>
    </row>
    <row r="12">
      <c r="A12" s="4" t="inlineStr">
        <is>
          <t>Comisiones de las AFP (vigentes desde el 01-10-2025): SP, Sistema de AFP (spensiones.cl).</t>
        </is>
      </c>
    </row>
    <row r="13">
      <c r="A13" s="4" t="inlineStr">
        <is>
          <t>Variables macro (IPC, TPM, dólar observado, Imacec): API pública de mindicador.cl, que republica series del BCCh y el 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2026-09-29T05:57:18Z</dcterms:created>
  <dcterms:modified xmlns:dcterms="http://purl.org/dc/terms/" xmlns:xsi="http://www.w3.org/2001/XMLSchema-instance" xsi:type="dcterms:W3CDTF">2026-09-29T05:57:19Z</dcterms:modified>
</cp:coreProperties>
</file>